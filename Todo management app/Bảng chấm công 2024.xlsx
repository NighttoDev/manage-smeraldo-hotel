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4880" windowHeight="8055" firstSheet="6" activeTab="20"/>
  </bookViews>
  <sheets>
    <sheet name="tháng 5" sheetId="1" r:id="rId1"/>
    <sheet name="tháng 6" sheetId="4" r:id="rId2"/>
    <sheet name="Tháng 7" sheetId="5" r:id="rId3"/>
    <sheet name="Tháng 8" sheetId="6" r:id="rId4"/>
    <sheet name="Tháng 9" sheetId="8" r:id="rId5"/>
    <sheet name="Tháng 10 " sheetId="9" r:id="rId6"/>
    <sheet name="Tháng 11" sheetId="12" r:id="rId7"/>
    <sheet name="Tháng 12" sheetId="13" r:id="rId8"/>
    <sheet name="1-2025" sheetId="14" r:id="rId9"/>
    <sheet name="2-2025" sheetId="15" r:id="rId10"/>
    <sheet name="3-2025" sheetId="17" r:id="rId11"/>
    <sheet name="4-2025" sheetId="18" r:id="rId12"/>
    <sheet name="5-2025" sheetId="19" r:id="rId13"/>
    <sheet name="6-2025" sheetId="21" r:id="rId14"/>
    <sheet name="7-2025" sheetId="23" r:id="rId15"/>
    <sheet name="8-2025" sheetId="24" r:id="rId16"/>
    <sheet name="9-2025" sheetId="25" r:id="rId17"/>
    <sheet name="10-2025" sheetId="26" r:id="rId18"/>
    <sheet name="11-2025" sheetId="27" r:id="rId19"/>
    <sheet name="12-2025" sheetId="28" r:id="rId20"/>
    <sheet name="1-2026" sheetId="29" r:id="rId21"/>
  </sheets>
  <calcPr calcId="144525"/>
</workbook>
</file>

<file path=xl/calcChain.xml><?xml version="1.0" encoding="utf-8"?>
<calcChain xmlns="http://schemas.openxmlformats.org/spreadsheetml/2006/main">
  <c r="AH12" i="29" l="1"/>
  <c r="AH6" i="29"/>
  <c r="AH5" i="29"/>
  <c r="AH4" i="29"/>
  <c r="AH3" i="29"/>
  <c r="AH7" i="28" l="1"/>
  <c r="AH13" i="28"/>
  <c r="AH6" i="28"/>
  <c r="AH5" i="28"/>
  <c r="AH4" i="28"/>
  <c r="AH3" i="28"/>
  <c r="AH13" i="27"/>
  <c r="AH6" i="27"/>
  <c r="AH5" i="27"/>
  <c r="AH4" i="27"/>
  <c r="AH3" i="27"/>
  <c r="AH13" i="26" l="1"/>
  <c r="AH6" i="26" l="1"/>
  <c r="AH5" i="26"/>
  <c r="AH4" i="26"/>
  <c r="AH3" i="26"/>
  <c r="AH5" i="25"/>
  <c r="AH6" i="25" l="1"/>
  <c r="AH4" i="25"/>
  <c r="AH3" i="25"/>
  <c r="AH6" i="24" l="1"/>
  <c r="AH5" i="24"/>
  <c r="AH4" i="24"/>
  <c r="AH3" i="24"/>
  <c r="AH13" i="21" l="1"/>
  <c r="AH6" i="23"/>
  <c r="AH5" i="23"/>
  <c r="AH4" i="23"/>
  <c r="AH3" i="23"/>
  <c r="AH12" i="21"/>
  <c r="AH11" i="21" l="1"/>
  <c r="AH10" i="21"/>
  <c r="AH6" i="21" l="1"/>
  <c r="AH5" i="21"/>
  <c r="AH4" i="21"/>
  <c r="AH3" i="21"/>
  <c r="AH7" i="19"/>
  <c r="AH6" i="19"/>
  <c r="AH5" i="19"/>
  <c r="AH4" i="19"/>
  <c r="AH3" i="19"/>
  <c r="AH7" i="18" l="1"/>
  <c r="AH6" i="18"/>
  <c r="AH5" i="18"/>
  <c r="AH4" i="18"/>
  <c r="AH3" i="18"/>
  <c r="AH7" i="17" l="1"/>
  <c r="AH6" i="17"/>
  <c r="AH5" i="17"/>
  <c r="AH4" i="17"/>
  <c r="AH3" i="17"/>
  <c r="AE4" i="15" l="1"/>
  <c r="AE5" i="15"/>
  <c r="AE6" i="15"/>
  <c r="AE7" i="15"/>
  <c r="AE3" i="15"/>
  <c r="AH4" i="14" l="1"/>
  <c r="AH5" i="14"/>
  <c r="AH6" i="14"/>
  <c r="AH7" i="14"/>
  <c r="AH3" i="14"/>
  <c r="AH3" i="13"/>
  <c r="AH4" i="13"/>
  <c r="AH6" i="13"/>
  <c r="AH7" i="13"/>
  <c r="AH5" i="13"/>
  <c r="AH7" i="12"/>
  <c r="AH3" i="12" l="1"/>
  <c r="AH4" i="12"/>
  <c r="AH5" i="12"/>
  <c r="AH6" i="12"/>
  <c r="AD18" i="9" l="1"/>
  <c r="AH7" i="9" l="1"/>
  <c r="AH6" i="9"/>
  <c r="AH5" i="9"/>
  <c r="AH4" i="9"/>
  <c r="AH3" i="9"/>
  <c r="AD18" i="8"/>
  <c r="AH3" i="8" l="1"/>
  <c r="AH4" i="8"/>
  <c r="AH5" i="8"/>
  <c r="AH6" i="8"/>
  <c r="AH7" i="8"/>
  <c r="AH7" i="6" l="1"/>
  <c r="AH6" i="6"/>
  <c r="AH5" i="6"/>
  <c r="AH4" i="6"/>
  <c r="AH3" i="6"/>
  <c r="AH3" i="5" l="1"/>
  <c r="AH4" i="5"/>
  <c r="AH5" i="5"/>
  <c r="AH6" i="5"/>
  <c r="AH7" i="5"/>
</calcChain>
</file>

<file path=xl/sharedStrings.xml><?xml version="1.0" encoding="utf-8"?>
<sst xmlns="http://schemas.openxmlformats.org/spreadsheetml/2006/main" count="391" uniqueCount="50">
  <si>
    <t xml:space="preserve">Thứ tự </t>
  </si>
  <si>
    <t xml:space="preserve">Họ Tên </t>
  </si>
  <si>
    <t xml:space="preserve">Ngày trong tháng </t>
  </si>
  <si>
    <t xml:space="preserve">Cô Hoàng </t>
  </si>
  <si>
    <t xml:space="preserve">Thuần </t>
  </si>
  <si>
    <t>Bình</t>
  </si>
  <si>
    <t xml:space="preserve">Quý </t>
  </si>
  <si>
    <t xml:space="preserve">tổng công </t>
  </si>
  <si>
    <t>Kiều</t>
  </si>
  <si>
    <t>x</t>
  </si>
  <si>
    <t>0,5</t>
  </si>
  <si>
    <t>x + 0.5</t>
  </si>
  <si>
    <t>x + 0,5</t>
  </si>
  <si>
    <t>x+0.5</t>
  </si>
  <si>
    <t>Thuần ứng 1tr 20/11</t>
  </si>
  <si>
    <t>Tú</t>
  </si>
  <si>
    <t>29( mồng 1)</t>
  </si>
  <si>
    <t>Kiều ứng 5tr</t>
  </si>
  <si>
    <t>Cô Hoàng ứng 2tr</t>
  </si>
  <si>
    <t>Thuần ứng 2tr3</t>
  </si>
  <si>
    <t xml:space="preserve">Thiên </t>
  </si>
  <si>
    <t>ngày 22/3 Tú ứng 2tr</t>
  </si>
  <si>
    <t>Tú ứng 1tr ngày 21/4</t>
  </si>
  <si>
    <t>Tú ứng 1tr400 ngày 16/5</t>
  </si>
  <si>
    <t>trừ 40k tiền mì của Tú</t>
  </si>
  <si>
    <t>Trừ 50k tiền nc của Kiều</t>
  </si>
  <si>
    <t>Trừ 500k tiền phòng của Kiều</t>
  </si>
  <si>
    <t>Tú ứng 2 công 400k ngày 20/6</t>
  </si>
  <si>
    <t>Tú ứng 1tr300 ngày 23/6</t>
  </si>
  <si>
    <t>Khoa</t>
  </si>
  <si>
    <t>Tú lấy 150k ngày 4/7</t>
  </si>
  <si>
    <t>khoa ứng 1tr2 14/7</t>
  </si>
  <si>
    <t xml:space="preserve">khoa ứng 1tr 25/7 </t>
  </si>
  <si>
    <t>Tú ứng 2 công ngày 6/8</t>
  </si>
  <si>
    <t>Kiều thiếu 8 nc suối + 1 coca + 50k vòi xịt</t>
  </si>
  <si>
    <t>Khoa ứng 5 công ngày 14/8, 1 công 29/8</t>
  </si>
  <si>
    <t>Khoa ứng 2 công ngày 9/9</t>
  </si>
  <si>
    <t>9/10 Trừ Khoa 100k</t>
  </si>
  <si>
    <t>khoa ứng 2 công 19/10</t>
  </si>
  <si>
    <t xml:space="preserve">       </t>
  </si>
  <si>
    <t>Khoa ứng 5 công ngày 16/11</t>
  </si>
  <si>
    <t>Tú ứng 10 công ngày 23/11</t>
  </si>
  <si>
    <t xml:space="preserve">Mai Anh </t>
  </si>
  <si>
    <t>Tú báo cánh quạt 25k</t>
  </si>
  <si>
    <t>Khoa ứng 3 công ngày 12/12</t>
  </si>
  <si>
    <t>Tú ứng 4 công 14/12</t>
  </si>
  <si>
    <t>Tú ứng 3 công ngày 9/12</t>
  </si>
  <si>
    <t>13/1 Tú ứng 5 công</t>
  </si>
  <si>
    <t xml:space="preserve">16/1 Tú ứng 3 công </t>
  </si>
  <si>
    <t>Kiều thiếu 700k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</si>
</sst>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/>
    </xf>
    <xf numFmtId="0" fontId="0" fillId="0" borderId="0" xfId="0" quotePrefix="1"/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1" fillId="4" borderId="1" xfId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1" fillId="4" borderId="1" xfId="1" applyBorder="1"/>
    <xf numFmtId="0" fontId="2" fillId="5" borderId="0" xfId="2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0" xfId="1"/>
    <xf numFmtId="0" fontId="0" fillId="0" borderId="0" xfId="0" applyAlignment="1">
      <alignment horizontal="center" vertical="center"/>
    </xf>
    <xf numFmtId="0" fontId="3" fillId="0" borderId="0" xfId="3"/>
    <xf numFmtId="0" fontId="0" fillId="0" borderId="0" xfId="0" applyAlignment="1">
      <alignment horizontal="center" vertical="center"/>
    </xf>
    <xf numFmtId="0" fontId="3" fillId="0" borderId="0" xfId="3" applyBorder="1"/>
    <xf numFmtId="0" fontId="0" fillId="0" borderId="0" xfId="0" applyAlignment="1">
      <alignment horizontal="center" vertical="center"/>
    </xf>
  </cellXfs>
  <cellStyles count="4">
    <cellStyle name="Accent2" xfId="1" builtinId="33"/>
    <cellStyle name="Bad" xfId="2" builtinId="27"/>
    <cellStyle name="Explanatory Text" xfId="3" builtinId="53"/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2:AJ11" headerRowCount="0" totalsRowShown="0">
  <tableColumns count="3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24" displayName="Table24" ref="A2:AI11" headerRowCount="0" totalsRowShown="0">
  <tableColumns count="3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4" name="Column34"/>
    <tableColumn id="35" name="Column35"/>
    <tableColumn id="36" name="Column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242" displayName="Table242" ref="A2:AJ11" headerRowCount="0" totalsRowShown="0">
  <tableColumns count="3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21">
      <calculatedColumnFormula>SUM(Table242[[#This Row],[Column3]:[Column33]])</calculatedColumnFormula>
    </tableColumn>
    <tableColumn id="35" name="Column35"/>
    <tableColumn id="36" name="Column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2425" displayName="Table2425" ref="A2:AJ11" headerRowCount="0" totalsRowShown="0">
  <tableColumns count="3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20">
      <calculatedColumnFormula>SUM(Table2425[[#This Row],[Column3]:[Column33]])</calculatedColumnFormula>
    </tableColumn>
    <tableColumn id="35" name="Column35" dataDxfId="19"/>
    <tableColumn id="36" name="Column3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24256" displayName="Table24256" ref="A2:AJ11" headerRowCount="0" totalsRowShown="0">
  <tableColumns count="3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18">
      <calculatedColumnFormula>SUM(Table24256[[#This Row],[Column3]:[Column33]])</calculatedColumnFormula>
    </tableColumn>
    <tableColumn id="35" name="Column35" dataDxfId="17"/>
    <tableColumn id="36" name="Column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242567" displayName="Table242567" ref="A2:AJ11" headerRowCount="0" totalsRowShown="0">
  <tableColumns count="3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16">
      <calculatedColumnFormula>SUM(Table242567[[#This Row],[Column3]:[Column33]])</calculatedColumnFormula>
    </tableColumn>
    <tableColumn id="35" name="Column35" dataDxfId="15"/>
    <tableColumn id="36" name="Column3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2425678" displayName="Table2425678" ref="A2:AH11" headerRowCount="0" totalsRowShown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14">
      <calculatedColumnFormula>SUM(Table2425678[[#This Row],[Column3]:[Column32]])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24256789" displayName="Table24256789" ref="A2:AH10" headerRowCount="0" totalsRowShown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13">
      <calculatedColumnFormula>SUM(Table24256789[[#This Row],[Column3]:[Column32]])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2425678910" displayName="Table2425678910" ref="A2:AH10" headerRowCount="0" totalsRowShown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12">
      <calculatedColumnFormula>SUM(Table2425678910[[#This Row],[Column3]:[Column32]])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242567891011" displayName="Table242567891011" ref="A2:AE10" headerRowCount="0" totalsRowShown="0">
  <tableColumns count="3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4" name="Column34" dataDxfId="11">
      <calculatedColumnFormula>SUM(#REF!)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2" name="Table242567891013" displayName="Table242567891013" ref="A2:AH10" headerRowCount="0" totalsRowShown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10">
      <calculatedColumnFormula>SUM(Table242567891013[[#This Row],[Column3]:[Column32]])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3" name="Table24256789101314" displayName="Table24256789101314" ref="A2:AH10" headerRowCount="0" totalsRowShown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9">
      <calculatedColumnFormula>SUM(Table24256789101314[[#This Row],[Column3]:[Column32]])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1" name="Table2425678910131412" displayName="Table2425678910131412" ref="A2:AH10" headerRowCount="0" totalsRowShown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8">
      <calculatedColumnFormula>SUM(Table2425678910131412[[#This Row],[Column3]:[Column32]])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242567891013141215" displayName="Table242567891013141215" ref="A2:AH13" headerRowCount="0" totalsRowShown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7">
      <calculatedColumnFormula>SUM(Table242567891013141215[[#This Row],[Column3]:[Column32]])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24256789101314121516" displayName="Table24256789101314121516" ref="A2:AH12" headerRowCount="0" totalsRowShown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6">
      <calculatedColumnFormula>SUM(Table24256789101314121516[[#This Row],[Column3]:[Column32]])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2425678910131412151617" displayName="Table2425678910131412151617" ref="A2:AH12" headerRowCount="0" totalsRowShown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5">
      <calculatedColumnFormula>SUM(Table2425678910131412151617[[#This Row],[Column3]:[Column32]])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242567891013141215161718" displayName="Table242567891013141215161718" ref="A2:AH12" headerRowCount="0" totalsRowShown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4">
      <calculatedColumnFormula>SUM(Table242567891013141215161718[[#This Row],[Column3]:[Column32]])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24256789101314121516171819" displayName="Table24256789101314121516171819" ref="A2:AH13" headerRowCount="0" totalsRowShown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3">
      <calculatedColumnFormula>SUM(Table24256789101314121516171819[[#This Row],[Column3]:[Column32]])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2425678910131412151617181920" displayName="Table2425678910131412151617181920" ref="A2:AH13" headerRowCount="0" totalsRowShown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2">
      <calculatedColumnFormula>SUM(Table2425678910131412151617181920[[#This Row],[Column3]:[Column32]])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2425678910131412151617181921" displayName="Table2425678910131412151617181921" ref="A2:AH13" headerRowCount="0" totalsRowShown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1">
      <calculatedColumnFormula>SUM(Table2425678910131412151617181921[[#This Row],[Column3]:[Column32]])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242567891013141215161718192122" displayName="Table242567891013141215161718192122" ref="A2:AH12" headerRowCount="0" totalsRowShown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 dataDxfId="0">
      <calculatedColumnFormula>SUM(Table242567891013141215161718192122[[#This Row],[Column3]:[Column32]])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"/>
  <sheetViews>
    <sheetView topLeftCell="B1" workbookViewId="0">
      <selection activeCell="AC24" sqref="AC24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2" width="5.140625" customWidth="1"/>
    <col min="13" max="14" width="5.28515625" customWidth="1"/>
    <col min="15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29" width="5.28515625" customWidth="1"/>
    <col min="30" max="30" width="5.140625" customWidth="1"/>
    <col min="31" max="31" width="5.28515625" customWidth="1"/>
    <col min="32" max="32" width="5.42578125" customWidth="1"/>
    <col min="33" max="33" width="5.140625" customWidth="1"/>
    <col min="34" max="36" width="12" customWidth="1"/>
  </cols>
  <sheetData>
    <row r="1" spans="1:36" ht="56.25" customHeight="1" x14ac:dyDescent="0.25">
      <c r="A1" s="2" t="s">
        <v>0</v>
      </c>
      <c r="B1" s="2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2" t="s">
        <v>7</v>
      </c>
      <c r="AI1" s="2"/>
      <c r="AJ1" s="2"/>
    </row>
    <row r="2" spans="1:36" x14ac:dyDescent="0.25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</row>
    <row r="3" spans="1:36" x14ac:dyDescent="0.25">
      <c r="A3" s="1">
        <v>1</v>
      </c>
      <c r="B3" t="s">
        <v>8</v>
      </c>
      <c r="C3" s="1" t="s">
        <v>9</v>
      </c>
      <c r="D3" s="1" t="s">
        <v>9</v>
      </c>
      <c r="E3" s="4" t="s">
        <v>10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10</v>
      </c>
      <c r="M3" s="1" t="s">
        <v>9</v>
      </c>
      <c r="N3" s="1" t="s">
        <v>9</v>
      </c>
      <c r="O3" s="1" t="s">
        <v>9</v>
      </c>
      <c r="P3" s="1" t="s">
        <v>9</v>
      </c>
      <c r="Q3" s="1" t="s">
        <v>9</v>
      </c>
      <c r="R3" s="1" t="s">
        <v>9</v>
      </c>
      <c r="S3" s="1" t="s">
        <v>9</v>
      </c>
      <c r="T3" s="1" t="s">
        <v>9</v>
      </c>
      <c r="U3" s="1" t="s">
        <v>9</v>
      </c>
      <c r="V3" s="1" t="s">
        <v>9</v>
      </c>
      <c r="W3" s="1" t="s">
        <v>9</v>
      </c>
      <c r="X3" s="1" t="s">
        <v>9</v>
      </c>
      <c r="Y3" s="1" t="s">
        <v>9</v>
      </c>
      <c r="Z3" s="1" t="s">
        <v>9</v>
      </c>
      <c r="AA3" s="1" t="s">
        <v>9</v>
      </c>
      <c r="AB3" s="1" t="s">
        <v>9</v>
      </c>
      <c r="AC3" s="1" t="s">
        <v>9</v>
      </c>
      <c r="AD3" s="1" t="s">
        <v>9</v>
      </c>
      <c r="AE3" s="1" t="s">
        <v>9</v>
      </c>
      <c r="AF3" s="1" t="s">
        <v>9</v>
      </c>
      <c r="AG3" s="1">
        <v>1</v>
      </c>
    </row>
    <row r="4" spans="1:36" x14ac:dyDescent="0.25">
      <c r="A4" s="1">
        <v>2</v>
      </c>
      <c r="B4" t="s">
        <v>3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>
        <v>1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  <c r="T4" s="1" t="s">
        <v>9</v>
      </c>
      <c r="U4" s="1" t="s">
        <v>9</v>
      </c>
      <c r="V4" s="1" t="s">
        <v>9</v>
      </c>
      <c r="W4" s="1" t="s">
        <v>9</v>
      </c>
      <c r="X4" s="1" t="s">
        <v>9</v>
      </c>
      <c r="Y4" s="1">
        <v>1</v>
      </c>
      <c r="Z4" s="1" t="s">
        <v>9</v>
      </c>
      <c r="AA4" s="1" t="s">
        <v>9</v>
      </c>
      <c r="AB4" s="1" t="s">
        <v>9</v>
      </c>
      <c r="AC4" s="1" t="s">
        <v>9</v>
      </c>
      <c r="AD4" s="1" t="s">
        <v>9</v>
      </c>
      <c r="AE4" s="1" t="s">
        <v>9</v>
      </c>
      <c r="AF4" s="1" t="s">
        <v>9</v>
      </c>
      <c r="AG4" s="1"/>
    </row>
    <row r="5" spans="1:36" x14ac:dyDescent="0.25">
      <c r="A5" s="1">
        <v>3</v>
      </c>
      <c r="B5" t="s">
        <v>4</v>
      </c>
      <c r="C5" s="1"/>
      <c r="D5" s="1"/>
      <c r="E5" s="1" t="s">
        <v>9</v>
      </c>
      <c r="F5" s="1"/>
      <c r="G5" s="1" t="s">
        <v>9</v>
      </c>
      <c r="H5" s="1" t="s">
        <v>9</v>
      </c>
      <c r="I5" s="1" t="s">
        <v>9</v>
      </c>
      <c r="J5" s="1" t="s">
        <v>9</v>
      </c>
      <c r="K5" s="1" t="s">
        <v>9</v>
      </c>
      <c r="L5" s="1"/>
      <c r="M5" s="1"/>
      <c r="N5" s="1" t="s">
        <v>9</v>
      </c>
      <c r="O5" s="1" t="s">
        <v>9</v>
      </c>
      <c r="P5" s="1"/>
      <c r="Q5" s="1" t="s">
        <v>9</v>
      </c>
      <c r="R5" s="1"/>
      <c r="S5" s="1" t="s">
        <v>9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9</v>
      </c>
    </row>
    <row r="6" spans="1:36" x14ac:dyDescent="0.25">
      <c r="A6" s="1">
        <v>4</v>
      </c>
      <c r="B6" t="s">
        <v>5</v>
      </c>
      <c r="C6" s="1" t="s">
        <v>9</v>
      </c>
      <c r="D6" s="1" t="s">
        <v>9</v>
      </c>
      <c r="E6" s="1"/>
      <c r="F6" s="1" t="s">
        <v>9</v>
      </c>
      <c r="G6" s="1"/>
      <c r="H6" s="1"/>
      <c r="I6" s="1"/>
      <c r="J6" s="1"/>
      <c r="K6" s="1"/>
      <c r="L6" s="1"/>
      <c r="M6" s="1"/>
      <c r="N6" s="1"/>
      <c r="O6" s="1"/>
      <c r="P6" s="1" t="s">
        <v>9</v>
      </c>
      <c r="Q6" s="1"/>
      <c r="R6" s="1" t="s">
        <v>9</v>
      </c>
      <c r="S6" s="1"/>
      <c r="T6" s="1" t="s">
        <v>9</v>
      </c>
      <c r="U6" s="1" t="s">
        <v>9</v>
      </c>
      <c r="V6" s="1" t="s">
        <v>9</v>
      </c>
      <c r="W6" s="1"/>
      <c r="X6" s="1" t="s">
        <v>9</v>
      </c>
      <c r="Y6" s="1"/>
      <c r="Z6" s="1" t="s">
        <v>9</v>
      </c>
      <c r="AA6" s="1"/>
      <c r="AB6" s="1"/>
      <c r="AC6" s="1" t="s">
        <v>9</v>
      </c>
      <c r="AD6" s="1"/>
      <c r="AE6" s="1" t="s">
        <v>9</v>
      </c>
      <c r="AF6" s="1"/>
      <c r="AG6" s="1" t="s">
        <v>9</v>
      </c>
    </row>
    <row r="7" spans="1:36" x14ac:dyDescent="0.25">
      <c r="A7" s="1">
        <v>5</v>
      </c>
      <c r="B7" t="s">
        <v>6</v>
      </c>
      <c r="C7" s="1"/>
      <c r="D7" s="1"/>
      <c r="E7" s="1"/>
      <c r="F7" s="1"/>
      <c r="G7" s="1"/>
      <c r="H7" s="1"/>
      <c r="I7" s="1"/>
      <c r="J7" s="1"/>
      <c r="K7" s="1"/>
      <c r="L7" s="1" t="s">
        <v>9</v>
      </c>
      <c r="M7" s="1" t="s">
        <v>9</v>
      </c>
      <c r="N7" s="1"/>
      <c r="O7" s="1"/>
      <c r="P7" s="1"/>
      <c r="Q7" s="1"/>
      <c r="R7" s="1"/>
      <c r="S7" s="1"/>
      <c r="T7" s="1"/>
      <c r="U7" s="1"/>
      <c r="V7" s="1"/>
      <c r="W7" s="1" t="s">
        <v>9</v>
      </c>
      <c r="X7" s="1"/>
      <c r="Y7" s="1" t="s">
        <v>9</v>
      </c>
      <c r="Z7" s="1"/>
      <c r="AA7" s="1" t="s">
        <v>9</v>
      </c>
      <c r="AB7" s="1" t="s">
        <v>9</v>
      </c>
      <c r="AC7" s="1"/>
      <c r="AD7" s="1" t="s">
        <v>9</v>
      </c>
      <c r="AE7" s="1"/>
      <c r="AF7" s="1" t="s">
        <v>9</v>
      </c>
      <c r="AG7" s="1"/>
    </row>
    <row r="14" spans="1:36" x14ac:dyDescent="0.25">
      <c r="Z14" s="5"/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Views>
    <sheetView workbookViewId="0">
      <selection activeCell="N19" sqref="N19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2" width="6.42578125" bestFit="1" customWidth="1"/>
    <col min="13" max="13" width="5.28515625" customWidth="1"/>
    <col min="14" max="14" width="6.42578125" bestFit="1" customWidth="1"/>
    <col min="15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29" width="5.28515625" customWidth="1"/>
    <col min="30" max="30" width="5.140625" customWidth="1"/>
    <col min="31" max="31" width="5.28515625" customWidth="1"/>
    <col min="32" max="32" width="5.42578125" customWidth="1"/>
    <col min="33" max="35" width="12" customWidth="1"/>
  </cols>
  <sheetData>
    <row r="1" spans="1:35" ht="56.25" customHeight="1" x14ac:dyDescent="0.25">
      <c r="A1" s="2" t="s">
        <v>0</v>
      </c>
      <c r="B1" s="2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2" t="s">
        <v>7</v>
      </c>
      <c r="AH1" s="2"/>
      <c r="AI1" s="2"/>
    </row>
    <row r="2" spans="1:35" x14ac:dyDescent="0.25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</row>
    <row r="3" spans="1:35" x14ac:dyDescent="0.25">
      <c r="A3" s="1">
        <v>1</v>
      </c>
      <c r="B3" t="s">
        <v>8</v>
      </c>
      <c r="C3" s="1" t="s">
        <v>9</v>
      </c>
      <c r="D3" s="1" t="s">
        <v>9</v>
      </c>
      <c r="E3" s="4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>
        <v>1</v>
      </c>
      <c r="L3" s="1">
        <v>1</v>
      </c>
      <c r="M3" s="1">
        <v>1</v>
      </c>
      <c r="N3" s="1" t="s">
        <v>10</v>
      </c>
      <c r="O3" s="1" t="s">
        <v>9</v>
      </c>
      <c r="P3" s="1" t="s">
        <v>9</v>
      </c>
      <c r="Q3" s="1" t="s">
        <v>9</v>
      </c>
      <c r="R3" s="1" t="s">
        <v>9</v>
      </c>
      <c r="S3" s="1" t="s">
        <v>9</v>
      </c>
      <c r="T3" s="1">
        <v>0.5</v>
      </c>
      <c r="U3" s="1" t="s">
        <v>9</v>
      </c>
      <c r="V3" s="1" t="s">
        <v>9</v>
      </c>
      <c r="W3" s="1" t="s">
        <v>9</v>
      </c>
      <c r="X3" s="1" t="s">
        <v>9</v>
      </c>
      <c r="Y3" s="1" t="s">
        <v>9</v>
      </c>
      <c r="Z3" s="1" t="s">
        <v>9</v>
      </c>
      <c r="AA3" s="1" t="s">
        <v>9</v>
      </c>
      <c r="AB3" s="1">
        <v>1</v>
      </c>
      <c r="AC3" s="1" t="s">
        <v>9</v>
      </c>
      <c r="AD3" s="1" t="s">
        <v>9</v>
      </c>
      <c r="AE3" s="1" t="s">
        <v>9</v>
      </c>
      <c r="AF3" s="1" t="s">
        <v>9</v>
      </c>
      <c r="AG3">
        <v>25</v>
      </c>
    </row>
    <row r="4" spans="1:35" x14ac:dyDescent="0.25">
      <c r="A4" s="1">
        <v>2</v>
      </c>
      <c r="B4" t="s">
        <v>3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  <c r="T4" s="1" t="s">
        <v>9</v>
      </c>
      <c r="U4" s="1">
        <v>1</v>
      </c>
      <c r="V4" s="1" t="s">
        <v>9</v>
      </c>
      <c r="W4" s="1" t="s">
        <v>9</v>
      </c>
      <c r="X4" s="1" t="s">
        <v>9</v>
      </c>
      <c r="Y4" s="1" t="s">
        <v>9</v>
      </c>
      <c r="Z4" s="1" t="s">
        <v>9</v>
      </c>
      <c r="AA4" s="1" t="s">
        <v>9</v>
      </c>
      <c r="AB4" s="1" t="s">
        <v>9</v>
      </c>
      <c r="AC4" s="1" t="s">
        <v>9</v>
      </c>
      <c r="AD4" s="1" t="s">
        <v>9</v>
      </c>
      <c r="AE4" s="1" t="s">
        <v>9</v>
      </c>
      <c r="AF4" s="1" t="s">
        <v>9</v>
      </c>
      <c r="AG4">
        <v>29</v>
      </c>
    </row>
    <row r="5" spans="1:35" x14ac:dyDescent="0.25">
      <c r="A5" s="1">
        <v>3</v>
      </c>
      <c r="B5" t="s">
        <v>4</v>
      </c>
      <c r="C5" s="1"/>
      <c r="D5" s="1"/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/>
      <c r="L5" s="1" t="s">
        <v>11</v>
      </c>
      <c r="M5" s="1"/>
      <c r="N5" s="1"/>
      <c r="O5" s="1" t="s">
        <v>9</v>
      </c>
      <c r="P5" s="1" t="s">
        <v>9</v>
      </c>
      <c r="Q5" s="1" t="s">
        <v>9</v>
      </c>
      <c r="R5" s="1" t="s">
        <v>9</v>
      </c>
      <c r="S5" s="1" t="s">
        <v>9</v>
      </c>
      <c r="T5" s="1" t="s">
        <v>9</v>
      </c>
      <c r="U5" s="1" t="s">
        <v>9</v>
      </c>
      <c r="V5" s="1" t="s">
        <v>9</v>
      </c>
      <c r="W5" s="1" t="s">
        <v>9</v>
      </c>
      <c r="X5" s="1" t="s">
        <v>9</v>
      </c>
      <c r="Y5" s="1" t="s">
        <v>9</v>
      </c>
      <c r="Z5" s="1" t="s">
        <v>9</v>
      </c>
      <c r="AA5" s="1" t="s">
        <v>9</v>
      </c>
      <c r="AB5" s="1" t="s">
        <v>13</v>
      </c>
      <c r="AC5" s="1" t="s">
        <v>9</v>
      </c>
      <c r="AD5" s="1" t="s">
        <v>9</v>
      </c>
      <c r="AE5" s="1" t="s">
        <v>9</v>
      </c>
      <c r="AF5" s="1" t="s">
        <v>9</v>
      </c>
      <c r="AG5">
        <v>26</v>
      </c>
    </row>
    <row r="6" spans="1:35" x14ac:dyDescent="0.25">
      <c r="A6" s="1">
        <v>4</v>
      </c>
      <c r="B6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5" x14ac:dyDescent="0.25">
      <c r="A7" s="1">
        <v>5</v>
      </c>
      <c r="B7" t="s">
        <v>6</v>
      </c>
      <c r="C7" s="1" t="s">
        <v>9</v>
      </c>
      <c r="D7" s="1" t="s">
        <v>9</v>
      </c>
      <c r="E7" s="1"/>
      <c r="F7" s="1"/>
      <c r="G7" s="1"/>
      <c r="H7" s="1"/>
      <c r="I7" s="1"/>
      <c r="J7" s="1"/>
      <c r="K7" s="1" t="s">
        <v>9</v>
      </c>
      <c r="L7" s="1">
        <v>0.5</v>
      </c>
      <c r="M7" s="1" t="s">
        <v>9</v>
      </c>
      <c r="N7" s="1" t="s">
        <v>12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14" spans="1:35" x14ac:dyDescent="0.25">
      <c r="Z14" s="5"/>
    </row>
  </sheetData>
  <mergeCells count="1">
    <mergeCell ref="C1:A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"/>
  <sheetViews>
    <sheetView workbookViewId="0">
      <selection activeCell="D39" sqref="D39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2" width="6.42578125" bestFit="1" customWidth="1"/>
    <col min="13" max="13" width="5.28515625" customWidth="1"/>
    <col min="14" max="14" width="6.42578125" bestFit="1" customWidth="1"/>
    <col min="15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29" width="5.28515625" customWidth="1"/>
    <col min="30" max="30" width="5.140625" customWidth="1"/>
    <col min="31" max="31" width="5.28515625" customWidth="1"/>
    <col min="32" max="32" width="5.42578125" customWidth="1"/>
    <col min="33" max="33" width="5.140625" customWidth="1"/>
    <col min="34" max="36" width="12" customWidth="1"/>
  </cols>
  <sheetData>
    <row r="1" spans="1:36" ht="56.25" customHeight="1" x14ac:dyDescent="0.25">
      <c r="A1" s="3" t="s">
        <v>0</v>
      </c>
      <c r="B1" s="3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" t="s">
        <v>7</v>
      </c>
      <c r="AI1" s="3"/>
      <c r="AJ1" s="3"/>
    </row>
    <row r="2" spans="1:36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8">
        <v>31</v>
      </c>
      <c r="AH2" s="7"/>
      <c r="AI2" s="7"/>
      <c r="AJ2" s="7"/>
    </row>
    <row r="3" spans="1:36" x14ac:dyDescent="0.25">
      <c r="A3" s="1">
        <v>1</v>
      </c>
      <c r="B3" t="s">
        <v>8</v>
      </c>
      <c r="C3" s="1">
        <v>1</v>
      </c>
      <c r="D3" s="1">
        <v>1</v>
      </c>
      <c r="E3" s="6">
        <v>1</v>
      </c>
      <c r="F3" s="1">
        <v>0.5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0.5</v>
      </c>
      <c r="V3" s="1">
        <v>1</v>
      </c>
      <c r="W3" s="1">
        <v>1</v>
      </c>
      <c r="X3" s="1">
        <v>1</v>
      </c>
      <c r="Y3" s="1">
        <v>0</v>
      </c>
      <c r="Z3" s="1">
        <v>1</v>
      </c>
      <c r="AA3" s="1">
        <v>1</v>
      </c>
      <c r="AB3" s="1">
        <v>1</v>
      </c>
      <c r="AC3" s="1">
        <v>0</v>
      </c>
      <c r="AD3" s="1">
        <v>0</v>
      </c>
      <c r="AE3" s="1">
        <v>0</v>
      </c>
      <c r="AF3" s="1">
        <v>0.5</v>
      </c>
      <c r="AG3" s="1">
        <v>1</v>
      </c>
      <c r="AH3">
        <f>SUM(Table242[[#This Row],[Column3]:[Column33]])</f>
        <v>25.5</v>
      </c>
    </row>
    <row r="4" spans="1:36" x14ac:dyDescent="0.25">
      <c r="A4" s="1">
        <v>2</v>
      </c>
      <c r="B4" t="s">
        <v>3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0.5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0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0.5</v>
      </c>
      <c r="AG4" s="1">
        <v>1</v>
      </c>
      <c r="AH4">
        <f>SUM(Table242[[#This Row],[Column3]:[Column33]])</f>
        <v>29</v>
      </c>
    </row>
    <row r="5" spans="1:36" x14ac:dyDescent="0.25">
      <c r="A5" s="1">
        <v>3</v>
      </c>
      <c r="B5" t="s">
        <v>4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/>
      <c r="I5" s="1">
        <v>1</v>
      </c>
      <c r="J5" s="1"/>
      <c r="K5" s="1"/>
      <c r="L5" s="1"/>
      <c r="M5" s="1"/>
      <c r="N5" s="1"/>
      <c r="O5" s="1">
        <v>1.5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1.5</v>
      </c>
      <c r="V5" s="1">
        <v>1</v>
      </c>
      <c r="W5" s="1">
        <v>1</v>
      </c>
      <c r="X5" s="1"/>
      <c r="Y5" s="1"/>
      <c r="Z5" s="1">
        <v>1</v>
      </c>
      <c r="AA5" s="1"/>
      <c r="AB5" s="1">
        <v>1</v>
      </c>
      <c r="AC5" s="1">
        <v>0.5</v>
      </c>
      <c r="AD5" s="1">
        <v>1.5</v>
      </c>
      <c r="AE5" s="1">
        <v>0</v>
      </c>
      <c r="AF5" s="1">
        <v>0</v>
      </c>
      <c r="AG5" s="1">
        <v>0</v>
      </c>
      <c r="AH5">
        <f>SUM(Table242[[#This Row],[Column3]:[Column33]])</f>
        <v>20</v>
      </c>
    </row>
    <row r="6" spans="1:36" x14ac:dyDescent="0.25">
      <c r="A6" s="1">
        <v>4</v>
      </c>
      <c r="B6" t="s">
        <v>5</v>
      </c>
      <c r="C6" s="1"/>
      <c r="D6" s="1"/>
      <c r="E6" s="1"/>
      <c r="F6" s="1"/>
      <c r="G6" s="1"/>
      <c r="H6" s="1">
        <v>1</v>
      </c>
      <c r="I6" s="1"/>
      <c r="J6" s="1">
        <v>1</v>
      </c>
      <c r="K6" s="1">
        <v>1</v>
      </c>
      <c r="L6" s="1">
        <v>1</v>
      </c>
      <c r="M6" s="1">
        <v>1</v>
      </c>
      <c r="N6" s="1">
        <v>1</v>
      </c>
      <c r="O6" s="1"/>
      <c r="P6" s="1"/>
      <c r="Q6" s="1"/>
      <c r="R6" s="1"/>
      <c r="S6" s="1"/>
      <c r="T6" s="1"/>
      <c r="U6" s="1"/>
      <c r="V6" s="1"/>
      <c r="W6" s="1"/>
      <c r="X6" s="1">
        <v>1</v>
      </c>
      <c r="Y6" s="1">
        <v>1</v>
      </c>
      <c r="Z6" s="1"/>
      <c r="AA6" s="1">
        <v>1</v>
      </c>
      <c r="AB6" s="1"/>
      <c r="AC6" s="1">
        <v>1</v>
      </c>
      <c r="AD6" s="1">
        <v>0.5</v>
      </c>
      <c r="AE6" s="1">
        <v>1.5</v>
      </c>
      <c r="AF6" s="1">
        <v>1</v>
      </c>
      <c r="AG6" s="1">
        <v>1</v>
      </c>
      <c r="AH6">
        <f>SUM(Table242[[#This Row],[Column3]:[Column33]])</f>
        <v>14</v>
      </c>
    </row>
    <row r="7" spans="1:36" x14ac:dyDescent="0.25">
      <c r="A7" s="1">
        <v>5</v>
      </c>
      <c r="B7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>
        <f>SUM(Table242[[#This Row],[Column3]:[Column33]])</f>
        <v>0</v>
      </c>
    </row>
    <row r="14" spans="1:36" x14ac:dyDescent="0.25">
      <c r="Z14" s="5"/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"/>
  <sheetViews>
    <sheetView workbookViewId="0">
      <selection activeCell="AA16" sqref="AA16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2" width="6.42578125" bestFit="1" customWidth="1"/>
    <col min="13" max="13" width="5.28515625" customWidth="1"/>
    <col min="14" max="14" width="6.42578125" bestFit="1" customWidth="1"/>
    <col min="15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29" width="5.28515625" customWidth="1"/>
    <col min="30" max="30" width="5.140625" customWidth="1"/>
    <col min="31" max="31" width="5.28515625" customWidth="1"/>
    <col min="32" max="32" width="5.42578125" customWidth="1"/>
    <col min="33" max="33" width="5.140625" customWidth="1"/>
    <col min="34" max="36" width="12" customWidth="1"/>
  </cols>
  <sheetData>
    <row r="1" spans="1:36" ht="56.25" customHeight="1" x14ac:dyDescent="0.25">
      <c r="A1" s="9" t="s">
        <v>0</v>
      </c>
      <c r="B1" s="9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9" t="s">
        <v>7</v>
      </c>
      <c r="AI1" s="9"/>
      <c r="AJ1" s="9"/>
    </row>
    <row r="2" spans="1:36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8">
        <v>31</v>
      </c>
      <c r="AH2" s="7"/>
      <c r="AI2" s="7"/>
      <c r="AJ2" s="7"/>
    </row>
    <row r="3" spans="1:36" x14ac:dyDescent="0.25">
      <c r="A3" s="1">
        <v>1</v>
      </c>
      <c r="B3" t="s">
        <v>8</v>
      </c>
      <c r="C3" s="1">
        <v>1</v>
      </c>
      <c r="D3" s="1">
        <v>1</v>
      </c>
      <c r="E3" s="6">
        <v>1</v>
      </c>
      <c r="F3" s="1">
        <v>1</v>
      </c>
      <c r="G3" s="1">
        <v>0.5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0.5</v>
      </c>
      <c r="N3" s="1">
        <v>0</v>
      </c>
      <c r="O3" s="1">
        <v>0.5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0.5</v>
      </c>
      <c r="X3" s="1">
        <v>1</v>
      </c>
      <c r="Y3" s="1">
        <v>1</v>
      </c>
      <c r="Z3" s="1">
        <v>0.5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0.75</v>
      </c>
      <c r="AH3">
        <f>SUM(Table2425[[#This Row],[Column3]:[Column33]])</f>
        <v>27.25</v>
      </c>
    </row>
    <row r="4" spans="1:36" x14ac:dyDescent="0.25">
      <c r="A4" s="1">
        <v>2</v>
      </c>
      <c r="B4" t="s">
        <v>3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0.5</v>
      </c>
      <c r="K4" s="1">
        <v>0</v>
      </c>
      <c r="L4" s="1">
        <v>0.5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0.5</v>
      </c>
      <c r="S4" s="1">
        <v>0.5</v>
      </c>
      <c r="T4" s="1">
        <v>0.5</v>
      </c>
      <c r="U4" s="1">
        <v>0.5</v>
      </c>
      <c r="V4" s="1">
        <v>0</v>
      </c>
      <c r="W4" s="1">
        <v>0</v>
      </c>
      <c r="X4" s="1">
        <v>0</v>
      </c>
      <c r="Y4" s="1">
        <v>0</v>
      </c>
      <c r="Z4" s="1">
        <v>0.5</v>
      </c>
      <c r="AA4" s="1">
        <v>0.5</v>
      </c>
      <c r="AB4" s="1">
        <v>0</v>
      </c>
      <c r="AC4" s="1">
        <v>0.5</v>
      </c>
      <c r="AD4" s="1">
        <v>0</v>
      </c>
      <c r="AE4" s="1">
        <v>0</v>
      </c>
      <c r="AF4" s="1">
        <v>0</v>
      </c>
      <c r="AG4" s="1">
        <v>0.5</v>
      </c>
      <c r="AH4">
        <f>SUM(Table2425[[#This Row],[Column3]:[Column33]])</f>
        <v>12</v>
      </c>
    </row>
    <row r="5" spans="1:36" x14ac:dyDescent="0.25">
      <c r="A5" s="1">
        <v>3</v>
      </c>
      <c r="B5" t="s">
        <v>4</v>
      </c>
      <c r="C5" s="1"/>
      <c r="D5" s="1">
        <v>1</v>
      </c>
      <c r="E5" s="1"/>
      <c r="F5" s="1">
        <v>1</v>
      </c>
      <c r="G5" s="1">
        <v>1.5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1.5</v>
      </c>
      <c r="N5" s="1">
        <v>1.5</v>
      </c>
      <c r="O5" s="1">
        <v>1.5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1.5</v>
      </c>
      <c r="X5" s="1">
        <v>1</v>
      </c>
      <c r="Y5" s="1">
        <v>1</v>
      </c>
      <c r="Z5" s="1">
        <v>1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>
        <f>SUM(Table2425[[#This Row],[Column3]:[Column33]])</f>
        <v>25.5</v>
      </c>
    </row>
    <row r="6" spans="1:36" x14ac:dyDescent="0.25">
      <c r="A6" s="1">
        <v>4</v>
      </c>
      <c r="B6" t="s">
        <v>5</v>
      </c>
      <c r="C6" s="1">
        <v>1</v>
      </c>
      <c r="D6" s="1"/>
      <c r="E6" s="1">
        <v>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0</v>
      </c>
      <c r="AH6">
        <f>SUM(Table2425[[#This Row],[Column3]:[Column33]])</f>
        <v>7</v>
      </c>
    </row>
    <row r="7" spans="1:36" x14ac:dyDescent="0.25">
      <c r="A7" s="1">
        <v>5</v>
      </c>
      <c r="B7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>
        <f>SUM(Table2425[[#This Row],[Column3]:[Column33]])</f>
        <v>0</v>
      </c>
    </row>
    <row r="14" spans="1:36" x14ac:dyDescent="0.25">
      <c r="Z14" s="5"/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"/>
  <sheetViews>
    <sheetView workbookViewId="0">
      <selection activeCell="E38" sqref="E38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2" width="6.42578125" bestFit="1" customWidth="1"/>
    <col min="13" max="13" width="5.28515625" customWidth="1"/>
    <col min="14" max="14" width="6.42578125" bestFit="1" customWidth="1"/>
    <col min="15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29" width="5.28515625" customWidth="1"/>
    <col min="30" max="30" width="5.140625" customWidth="1"/>
    <col min="31" max="31" width="5.28515625" customWidth="1"/>
    <col min="32" max="32" width="5.42578125" customWidth="1"/>
    <col min="33" max="33" width="5.140625" customWidth="1"/>
    <col min="34" max="36" width="12" customWidth="1"/>
  </cols>
  <sheetData>
    <row r="1" spans="1:36" ht="56.25" customHeight="1" x14ac:dyDescent="0.25">
      <c r="A1" s="10" t="s">
        <v>0</v>
      </c>
      <c r="B1" s="10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10" t="s">
        <v>7</v>
      </c>
      <c r="AI1" s="10"/>
      <c r="AJ1" s="10"/>
    </row>
    <row r="2" spans="1:36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12">
        <v>31</v>
      </c>
      <c r="AH2" s="7"/>
      <c r="AI2" s="7"/>
      <c r="AJ2" s="7"/>
    </row>
    <row r="3" spans="1:36" x14ac:dyDescent="0.25">
      <c r="A3" s="1">
        <v>1</v>
      </c>
      <c r="B3" t="s">
        <v>8</v>
      </c>
      <c r="C3" s="1">
        <v>1</v>
      </c>
      <c r="D3" s="1">
        <v>2</v>
      </c>
      <c r="E3" s="6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0.5</v>
      </c>
      <c r="M3" s="1">
        <v>0.5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0.5</v>
      </c>
      <c r="Y3" s="1">
        <v>1</v>
      </c>
      <c r="Z3" s="1">
        <v>1</v>
      </c>
      <c r="AA3" s="1">
        <v>0.5</v>
      </c>
      <c r="AB3" s="1">
        <v>0</v>
      </c>
      <c r="AC3" s="1">
        <v>1</v>
      </c>
      <c r="AD3" s="1">
        <v>1</v>
      </c>
      <c r="AE3" s="1">
        <v>0</v>
      </c>
      <c r="AF3" s="1">
        <v>1</v>
      </c>
      <c r="AG3" s="13">
        <v>0</v>
      </c>
      <c r="AH3">
        <f>SUM(Table24256[[#This Row],[Column3]:[Column33]])</f>
        <v>27</v>
      </c>
    </row>
    <row r="4" spans="1:36" x14ac:dyDescent="0.25">
      <c r="A4" s="1">
        <v>2</v>
      </c>
      <c r="B4" t="s">
        <v>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0.5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0.5</v>
      </c>
      <c r="U4" s="1">
        <v>1</v>
      </c>
      <c r="V4" s="1">
        <v>0</v>
      </c>
      <c r="W4" s="1">
        <v>1</v>
      </c>
      <c r="X4" s="1">
        <v>0</v>
      </c>
      <c r="Y4" s="1">
        <v>1</v>
      </c>
      <c r="Z4" s="1">
        <v>1</v>
      </c>
      <c r="AA4" s="1">
        <v>1</v>
      </c>
      <c r="AB4" s="1">
        <v>0</v>
      </c>
      <c r="AC4" s="1">
        <v>1</v>
      </c>
      <c r="AD4" s="1">
        <v>0.5</v>
      </c>
      <c r="AE4" s="1">
        <v>1</v>
      </c>
      <c r="AF4" s="1">
        <v>1</v>
      </c>
      <c r="AG4" s="13">
        <v>0</v>
      </c>
      <c r="AH4">
        <f>SUM(Table24256[[#This Row],[Column3]:[Column33]])</f>
        <v>16.5</v>
      </c>
    </row>
    <row r="5" spans="1:36" x14ac:dyDescent="0.25">
      <c r="A5" s="1">
        <v>3</v>
      </c>
      <c r="B5" t="s">
        <v>4</v>
      </c>
      <c r="C5" s="1">
        <v>1</v>
      </c>
      <c r="D5" s="1">
        <v>2</v>
      </c>
      <c r="E5" s="1">
        <v>1</v>
      </c>
      <c r="F5" s="1">
        <v>1</v>
      </c>
      <c r="G5" s="1">
        <v>1</v>
      </c>
      <c r="H5" s="1">
        <v>0</v>
      </c>
      <c r="I5" s="1">
        <v>1</v>
      </c>
      <c r="J5" s="1">
        <v>1</v>
      </c>
      <c r="K5" s="1">
        <v>1</v>
      </c>
      <c r="L5" s="1">
        <v>1.25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0</v>
      </c>
      <c r="W5" s="1">
        <v>1</v>
      </c>
      <c r="X5" s="1">
        <v>0.5</v>
      </c>
      <c r="Y5" s="1">
        <v>0</v>
      </c>
      <c r="Z5" s="1">
        <v>1</v>
      </c>
      <c r="AA5" s="1">
        <v>0</v>
      </c>
      <c r="AB5" s="1">
        <v>1</v>
      </c>
      <c r="AC5" s="1">
        <v>1</v>
      </c>
      <c r="AD5" s="1">
        <v>1</v>
      </c>
      <c r="AE5" s="1">
        <v>1.25</v>
      </c>
      <c r="AF5" s="1">
        <v>1</v>
      </c>
      <c r="AG5" s="13">
        <v>0</v>
      </c>
      <c r="AH5">
        <f>SUM(Table24256[[#This Row],[Column3]:[Column33]])</f>
        <v>27</v>
      </c>
    </row>
    <row r="6" spans="1:36" x14ac:dyDescent="0.25">
      <c r="A6" s="1">
        <v>4</v>
      </c>
      <c r="B6" t="s">
        <v>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>
        <v>1</v>
      </c>
      <c r="Y6" s="1">
        <v>1</v>
      </c>
      <c r="Z6" s="1">
        <v>0</v>
      </c>
      <c r="AA6" s="1">
        <v>1</v>
      </c>
      <c r="AB6" s="1">
        <v>0.5</v>
      </c>
      <c r="AC6" s="1"/>
      <c r="AD6" s="1"/>
      <c r="AE6" s="1"/>
      <c r="AF6" s="1"/>
      <c r="AG6" s="13">
        <v>0</v>
      </c>
      <c r="AH6">
        <f>SUM(Table24256[[#This Row],[Column3]:[Column33]])</f>
        <v>3.5</v>
      </c>
    </row>
    <row r="7" spans="1:36" x14ac:dyDescent="0.25">
      <c r="A7" s="1">
        <v>5</v>
      </c>
      <c r="B7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>
        <f>SUM(Table24256[[#This Row],[Column3]:[Column33]])</f>
        <v>0</v>
      </c>
    </row>
    <row r="14" spans="1:36" x14ac:dyDescent="0.25">
      <c r="Z14" s="5"/>
    </row>
    <row r="18" spans="30:30" x14ac:dyDescent="0.25">
      <c r="AD18">
        <f>54-15</f>
        <v>39</v>
      </c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"/>
  <sheetViews>
    <sheetView workbookViewId="0">
      <selection activeCell="T11" sqref="T11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2" width="6.42578125" bestFit="1" customWidth="1"/>
    <col min="13" max="13" width="5.28515625" customWidth="1"/>
    <col min="14" max="14" width="6.42578125" bestFit="1" customWidth="1"/>
    <col min="15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29" width="5.28515625" customWidth="1"/>
    <col min="30" max="30" width="5.140625" customWidth="1"/>
    <col min="31" max="31" width="5.28515625" customWidth="1"/>
    <col min="32" max="32" width="5.42578125" customWidth="1"/>
    <col min="33" max="33" width="5.140625" customWidth="1"/>
    <col min="34" max="36" width="12" customWidth="1"/>
  </cols>
  <sheetData>
    <row r="1" spans="1:36" ht="56.25" customHeight="1" x14ac:dyDescent="0.25">
      <c r="A1" s="11" t="s">
        <v>0</v>
      </c>
      <c r="B1" s="11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11" t="s">
        <v>7</v>
      </c>
      <c r="AI1" s="11"/>
      <c r="AJ1" s="11"/>
    </row>
    <row r="2" spans="1:36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14">
        <v>31</v>
      </c>
      <c r="AH2" s="7"/>
      <c r="AI2" s="7"/>
      <c r="AJ2" s="7"/>
    </row>
    <row r="3" spans="1:36" x14ac:dyDescent="0.25">
      <c r="A3" s="1">
        <v>1</v>
      </c>
      <c r="B3" t="s">
        <v>8</v>
      </c>
      <c r="C3" s="1">
        <v>1</v>
      </c>
      <c r="D3" s="1">
        <v>1</v>
      </c>
      <c r="E3" s="6">
        <v>1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1</v>
      </c>
      <c r="M3" s="1">
        <v>1</v>
      </c>
      <c r="N3" s="1">
        <v>0.5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0</v>
      </c>
      <c r="AD3" s="1">
        <v>1</v>
      </c>
      <c r="AE3" s="1">
        <v>1</v>
      </c>
      <c r="AF3" s="1">
        <v>1</v>
      </c>
      <c r="AG3" s="15">
        <v>1</v>
      </c>
      <c r="AH3">
        <f>SUM(Table242567[[#This Row],[Column3]:[Column33]])</f>
        <v>25.5</v>
      </c>
    </row>
    <row r="4" spans="1:36" x14ac:dyDescent="0.25">
      <c r="A4" s="1">
        <v>2</v>
      </c>
      <c r="B4" t="s">
        <v>3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0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0</v>
      </c>
      <c r="AD4" s="1">
        <v>1</v>
      </c>
      <c r="AE4" s="1">
        <v>1</v>
      </c>
      <c r="AF4" s="1">
        <v>1</v>
      </c>
      <c r="AG4" s="15">
        <v>1</v>
      </c>
      <c r="AH4">
        <f>SUM(Table242567[[#This Row],[Column3]:[Column33]])</f>
        <v>28</v>
      </c>
    </row>
    <row r="5" spans="1:36" x14ac:dyDescent="0.25">
      <c r="A5" s="1">
        <v>3</v>
      </c>
      <c r="B5" t="s">
        <v>4</v>
      </c>
      <c r="C5" s="1">
        <v>1</v>
      </c>
      <c r="D5" s="1">
        <v>0</v>
      </c>
      <c r="E5" s="1">
        <v>1</v>
      </c>
      <c r="F5" s="1">
        <v>0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1.5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0</v>
      </c>
      <c r="AB5" s="1">
        <v>1</v>
      </c>
      <c r="AC5" s="1">
        <v>1.5</v>
      </c>
      <c r="AD5" s="1">
        <v>0</v>
      </c>
      <c r="AE5" s="1">
        <v>0</v>
      </c>
      <c r="AF5" s="1">
        <v>0</v>
      </c>
      <c r="AG5" s="15">
        <v>1</v>
      </c>
      <c r="AH5">
        <f>SUM(Table242567[[#This Row],[Column3]:[Column33]])</f>
        <v>26</v>
      </c>
    </row>
    <row r="6" spans="1:36" x14ac:dyDescent="0.25">
      <c r="A6" s="1">
        <v>4</v>
      </c>
      <c r="B6" t="s">
        <v>5</v>
      </c>
      <c r="C6" s="1">
        <v>0</v>
      </c>
      <c r="D6" s="1">
        <v>1</v>
      </c>
      <c r="E6" s="1">
        <v>0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1</v>
      </c>
      <c r="AE6" s="1">
        <v>1</v>
      </c>
      <c r="AF6" s="1">
        <v>1</v>
      </c>
      <c r="AG6" s="15">
        <v>0</v>
      </c>
      <c r="AH6">
        <f>SUM(Table242567[[#This Row],[Column3]:[Column33]])</f>
        <v>10</v>
      </c>
    </row>
    <row r="7" spans="1:36" x14ac:dyDescent="0.25">
      <c r="A7" s="1">
        <v>5</v>
      </c>
      <c r="B7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>
        <f>SUM(Table242567[[#This Row],[Column3]:[Column33]])</f>
        <v>0</v>
      </c>
    </row>
    <row r="14" spans="1:36" x14ac:dyDescent="0.25">
      <c r="Z14" s="5"/>
    </row>
    <row r="18" spans="30:30" x14ac:dyDescent="0.25">
      <c r="AD18">
        <f>54-15</f>
        <v>39</v>
      </c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"/>
  <sheetViews>
    <sheetView workbookViewId="0">
      <selection activeCell="L34" sqref="L34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29" width="5.28515625" customWidth="1"/>
    <col min="30" max="30" width="5.140625" customWidth="1"/>
    <col min="31" max="31" width="5.28515625" customWidth="1"/>
    <col min="32" max="32" width="5.42578125" customWidth="1"/>
    <col min="33" max="33" width="5.140625" customWidth="1"/>
    <col min="34" max="34" width="12" customWidth="1"/>
  </cols>
  <sheetData>
    <row r="1" spans="1:34" ht="56.25" customHeight="1" x14ac:dyDescent="0.25">
      <c r="A1" s="16" t="s">
        <v>0</v>
      </c>
      <c r="B1" s="16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16" t="s">
        <v>7</v>
      </c>
    </row>
    <row r="2" spans="1:34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18">
        <v>31</v>
      </c>
      <c r="AH2" s="7"/>
    </row>
    <row r="3" spans="1:34" x14ac:dyDescent="0.25">
      <c r="A3" s="8">
        <v>1</v>
      </c>
      <c r="B3" s="7" t="s">
        <v>8</v>
      </c>
      <c r="C3" s="8">
        <v>1</v>
      </c>
      <c r="D3" s="8">
        <v>1</v>
      </c>
      <c r="E3" s="17">
        <v>1</v>
      </c>
      <c r="F3" s="8">
        <v>1</v>
      </c>
      <c r="G3" s="8">
        <v>1</v>
      </c>
      <c r="H3" s="8">
        <v>0.5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0.5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0</v>
      </c>
      <c r="Z3" s="8">
        <v>1</v>
      </c>
      <c r="AA3" s="8">
        <v>1</v>
      </c>
      <c r="AB3" s="8">
        <v>0</v>
      </c>
      <c r="AC3" s="8">
        <v>1</v>
      </c>
      <c r="AD3" s="8">
        <v>1</v>
      </c>
      <c r="AE3" s="8">
        <v>1</v>
      </c>
      <c r="AF3" s="8">
        <v>1</v>
      </c>
      <c r="AG3" s="18">
        <v>0</v>
      </c>
      <c r="AH3" s="7">
        <f>SUM(Table2425678[[#This Row],[Column3]:[Column32]])</f>
        <v>27</v>
      </c>
    </row>
    <row r="4" spans="1:34" x14ac:dyDescent="0.25">
      <c r="A4" s="8">
        <v>2</v>
      </c>
      <c r="B4" s="7" t="s">
        <v>3</v>
      </c>
      <c r="C4" s="8">
        <v>1</v>
      </c>
      <c r="D4" s="8">
        <v>0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0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0</v>
      </c>
      <c r="U4" s="8">
        <v>1</v>
      </c>
      <c r="V4" s="8">
        <v>1</v>
      </c>
      <c r="W4" s="8">
        <v>1</v>
      </c>
      <c r="X4" s="8">
        <v>1</v>
      </c>
      <c r="Y4" s="8">
        <v>1</v>
      </c>
      <c r="Z4" s="8">
        <v>0</v>
      </c>
      <c r="AA4" s="8">
        <v>1</v>
      </c>
      <c r="AB4" s="8">
        <v>1</v>
      </c>
      <c r="AC4" s="8">
        <v>1</v>
      </c>
      <c r="AD4" s="8">
        <v>0.5</v>
      </c>
      <c r="AE4" s="8">
        <v>1</v>
      </c>
      <c r="AF4" s="8">
        <v>1</v>
      </c>
      <c r="AG4" s="18">
        <v>0</v>
      </c>
      <c r="AH4" s="7">
        <f>SUM(Table2425678[[#This Row],[Column3]:[Column32]])</f>
        <v>25.5</v>
      </c>
    </row>
    <row r="5" spans="1:34" x14ac:dyDescent="0.25">
      <c r="A5" s="8">
        <v>3</v>
      </c>
      <c r="B5" s="7" t="s">
        <v>4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0</v>
      </c>
      <c r="S5" s="8">
        <v>1.5</v>
      </c>
      <c r="T5" s="8">
        <v>1</v>
      </c>
      <c r="U5" s="8">
        <v>0</v>
      </c>
      <c r="V5" s="8">
        <v>1</v>
      </c>
      <c r="W5" s="8">
        <v>0</v>
      </c>
      <c r="X5" s="8">
        <v>0</v>
      </c>
      <c r="Y5" s="8">
        <v>1.5</v>
      </c>
      <c r="Z5" s="8">
        <v>1</v>
      </c>
      <c r="AA5" s="8">
        <v>1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18">
        <v>0</v>
      </c>
      <c r="AH5" s="7">
        <f>SUM(Table2425678[[#This Row],[Column3]:[Column32]])</f>
        <v>22</v>
      </c>
    </row>
    <row r="6" spans="1:34" x14ac:dyDescent="0.25">
      <c r="A6" s="8">
        <v>4</v>
      </c>
      <c r="B6" s="7" t="s">
        <v>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8">
        <v>0</v>
      </c>
      <c r="AH6" s="7">
        <f>SUM(Table2425678[[#This Row],[Column3]:[Column32]])</f>
        <v>0</v>
      </c>
    </row>
    <row r="7" spans="1:34" x14ac:dyDescent="0.25">
      <c r="A7" s="8">
        <v>5</v>
      </c>
      <c r="B7" s="7" t="s">
        <v>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>
        <v>1</v>
      </c>
      <c r="S7" s="8"/>
      <c r="T7" s="8"/>
      <c r="U7" s="8">
        <v>1</v>
      </c>
      <c r="V7" s="8"/>
      <c r="W7" s="8">
        <v>1</v>
      </c>
      <c r="X7" s="8">
        <v>1</v>
      </c>
      <c r="Y7" s="8"/>
      <c r="Z7" s="8"/>
      <c r="AA7" s="8"/>
      <c r="AB7" s="8">
        <v>1</v>
      </c>
      <c r="AC7" s="8">
        <v>1</v>
      </c>
      <c r="AD7" s="8">
        <v>1</v>
      </c>
      <c r="AE7" s="8">
        <v>1</v>
      </c>
      <c r="AF7" s="8">
        <v>1</v>
      </c>
      <c r="AG7" s="8"/>
      <c r="AH7" s="7">
        <f>SUM(Table2425678[[#This Row],[Column3]:[Column32]])</f>
        <v>9</v>
      </c>
    </row>
    <row r="13" spans="1:34" x14ac:dyDescent="0.25">
      <c r="B13" t="s">
        <v>14</v>
      </c>
    </row>
    <row r="14" spans="1:34" x14ac:dyDescent="0.25">
      <c r="Z14" s="5"/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"/>
  <sheetViews>
    <sheetView workbookViewId="0">
      <selection activeCell="L17" sqref="L17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29" width="5.28515625" customWidth="1"/>
    <col min="30" max="30" width="5.140625" customWidth="1"/>
    <col min="31" max="31" width="5.28515625" customWidth="1"/>
    <col min="32" max="32" width="5.42578125" customWidth="1"/>
    <col min="33" max="33" width="5.140625" customWidth="1"/>
    <col min="34" max="34" width="10" bestFit="1" customWidth="1"/>
  </cols>
  <sheetData>
    <row r="1" spans="1:34" ht="56.25" customHeight="1" x14ac:dyDescent="0.25">
      <c r="A1" s="19" t="s">
        <v>0</v>
      </c>
      <c r="B1" s="19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19" t="s">
        <v>7</v>
      </c>
    </row>
    <row r="2" spans="1:34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8">
        <v>31</v>
      </c>
      <c r="AH2" s="7"/>
    </row>
    <row r="3" spans="1:34" x14ac:dyDescent="0.25">
      <c r="A3" s="8">
        <v>1</v>
      </c>
      <c r="B3" s="7" t="s">
        <v>8</v>
      </c>
      <c r="C3" s="8">
        <v>1</v>
      </c>
      <c r="D3" s="8">
        <v>1</v>
      </c>
      <c r="E3" s="17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1</v>
      </c>
      <c r="AC3" s="8">
        <v>1</v>
      </c>
      <c r="AD3" s="8">
        <v>1</v>
      </c>
      <c r="AE3" s="8">
        <v>0</v>
      </c>
      <c r="AF3" s="8">
        <v>0</v>
      </c>
      <c r="AG3" s="8">
        <v>0</v>
      </c>
      <c r="AH3" s="7">
        <f>SUM(Table24256789[[#This Row],[Column3]:[Column33]])</f>
        <v>28</v>
      </c>
    </row>
    <row r="4" spans="1:34" x14ac:dyDescent="0.25">
      <c r="A4" s="8">
        <v>2</v>
      </c>
      <c r="B4" s="7" t="s">
        <v>3</v>
      </c>
      <c r="C4" s="8">
        <v>1</v>
      </c>
      <c r="D4" s="8">
        <v>1</v>
      </c>
      <c r="E4" s="8">
        <v>1</v>
      </c>
      <c r="F4" s="8">
        <v>0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0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0</v>
      </c>
      <c r="U4" s="8">
        <v>1</v>
      </c>
      <c r="V4" s="8">
        <v>1</v>
      </c>
      <c r="W4" s="8">
        <v>1</v>
      </c>
      <c r="X4" s="8">
        <v>1</v>
      </c>
      <c r="Y4" s="8">
        <v>1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v>1</v>
      </c>
      <c r="AF4" s="8">
        <v>1</v>
      </c>
      <c r="AG4" s="8">
        <v>1</v>
      </c>
      <c r="AH4" s="7">
        <f>SUM(Table24256789[[#This Row],[Column3]:[Column33]])</f>
        <v>28</v>
      </c>
    </row>
    <row r="5" spans="1:34" x14ac:dyDescent="0.25">
      <c r="A5" s="8">
        <v>3</v>
      </c>
      <c r="B5" s="7" t="s">
        <v>4</v>
      </c>
      <c r="C5" s="8">
        <v>0</v>
      </c>
      <c r="D5" s="8">
        <v>1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1</v>
      </c>
      <c r="K5" s="8">
        <v>1</v>
      </c>
      <c r="L5" s="8">
        <v>1</v>
      </c>
      <c r="M5" s="8">
        <v>1</v>
      </c>
      <c r="N5" s="8">
        <v>0</v>
      </c>
      <c r="O5" s="8">
        <v>1</v>
      </c>
      <c r="P5" s="8">
        <v>0</v>
      </c>
      <c r="Q5" s="8">
        <v>0</v>
      </c>
      <c r="R5" s="8">
        <v>1</v>
      </c>
      <c r="S5" s="8">
        <v>1</v>
      </c>
      <c r="T5" s="8">
        <v>1</v>
      </c>
      <c r="U5" s="8">
        <v>0.5</v>
      </c>
      <c r="V5" s="8">
        <v>1</v>
      </c>
      <c r="W5" s="8">
        <v>1</v>
      </c>
      <c r="X5" s="8">
        <v>0.5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1</v>
      </c>
      <c r="AG5" s="8">
        <v>0.5</v>
      </c>
      <c r="AH5" s="7">
        <f>SUM(Table24256789[[#This Row],[Column3]:[Column33]])</f>
        <v>15.5</v>
      </c>
    </row>
    <row r="6" spans="1:34" x14ac:dyDescent="0.25">
      <c r="A6" s="8">
        <v>4</v>
      </c>
      <c r="B6" s="7" t="s">
        <v>6</v>
      </c>
      <c r="C6" s="8">
        <v>1</v>
      </c>
      <c r="D6" s="8">
        <v>0</v>
      </c>
      <c r="E6" s="8">
        <v>0</v>
      </c>
      <c r="F6" s="8">
        <v>1</v>
      </c>
      <c r="G6" s="8">
        <v>1</v>
      </c>
      <c r="H6" s="8">
        <v>1</v>
      </c>
      <c r="I6" s="8">
        <v>1</v>
      </c>
      <c r="J6" s="8">
        <v>0</v>
      </c>
      <c r="K6" s="8">
        <v>0</v>
      </c>
      <c r="L6" s="8">
        <v>0</v>
      </c>
      <c r="M6" s="8">
        <v>0</v>
      </c>
      <c r="N6" s="8">
        <v>1</v>
      </c>
      <c r="O6" s="8">
        <v>0</v>
      </c>
      <c r="P6" s="8">
        <v>1</v>
      </c>
      <c r="Q6" s="8">
        <v>1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1</v>
      </c>
      <c r="AB6" s="8">
        <v>0</v>
      </c>
      <c r="AC6" s="8">
        <v>1</v>
      </c>
      <c r="AD6" s="8">
        <v>0</v>
      </c>
      <c r="AE6" s="8">
        <v>0</v>
      </c>
      <c r="AF6" s="8">
        <v>1</v>
      </c>
      <c r="AG6" s="8">
        <v>0.5</v>
      </c>
      <c r="AH6" s="7">
        <f>SUM(Table24256789[[#This Row],[Column3]:[Column33]])</f>
        <v>11.5</v>
      </c>
    </row>
    <row r="7" spans="1:34" x14ac:dyDescent="0.25">
      <c r="A7" s="8">
        <v>5</v>
      </c>
      <c r="B7" s="7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>
        <v>1</v>
      </c>
      <c r="V7" s="8">
        <v>0</v>
      </c>
      <c r="W7" s="8">
        <v>0</v>
      </c>
      <c r="X7" s="8">
        <v>1</v>
      </c>
      <c r="Y7" s="8">
        <v>1</v>
      </c>
      <c r="Z7" s="8">
        <v>0</v>
      </c>
      <c r="AA7" s="8">
        <v>0</v>
      </c>
      <c r="AB7" s="8">
        <v>1</v>
      </c>
      <c r="AC7" s="8">
        <v>0</v>
      </c>
      <c r="AD7" s="8">
        <v>1</v>
      </c>
      <c r="AE7" s="8">
        <v>1</v>
      </c>
      <c r="AF7" s="8">
        <v>0</v>
      </c>
      <c r="AG7" s="8">
        <v>1</v>
      </c>
      <c r="AH7" s="7">
        <f>SUM(Table24256789[[#This Row],[Column3]:[Column33]])</f>
        <v>7</v>
      </c>
    </row>
    <row r="13" spans="1:34" x14ac:dyDescent="0.25">
      <c r="Z13" s="5"/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"/>
  <sheetViews>
    <sheetView workbookViewId="0">
      <selection activeCell="AG7" sqref="AG7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30" width="5.28515625" customWidth="1"/>
    <col min="31" max="31" width="11.28515625" bestFit="1" customWidth="1"/>
    <col min="32" max="32" width="5.42578125" customWidth="1"/>
    <col min="33" max="33" width="5.140625" customWidth="1"/>
    <col min="34" max="34" width="12" customWidth="1"/>
  </cols>
  <sheetData>
    <row r="1" spans="1:34" ht="56.25" customHeight="1" x14ac:dyDescent="0.25">
      <c r="A1" s="19" t="s">
        <v>0</v>
      </c>
      <c r="B1" s="19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19" t="s">
        <v>7</v>
      </c>
    </row>
    <row r="2" spans="1:34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 t="s">
        <v>16</v>
      </c>
      <c r="AF2" s="8">
        <v>30</v>
      </c>
      <c r="AG2" s="8">
        <v>31</v>
      </c>
      <c r="AH2" s="7"/>
    </row>
    <row r="3" spans="1:34" x14ac:dyDescent="0.25">
      <c r="A3" s="8">
        <v>1</v>
      </c>
      <c r="B3" s="7" t="s">
        <v>8</v>
      </c>
      <c r="C3" s="8">
        <v>2</v>
      </c>
      <c r="D3" s="8">
        <v>0</v>
      </c>
      <c r="E3" s="17">
        <v>0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1</v>
      </c>
      <c r="AC3" s="8">
        <v>1</v>
      </c>
      <c r="AD3" s="8">
        <v>0</v>
      </c>
      <c r="AE3" s="8">
        <v>3</v>
      </c>
      <c r="AF3" s="8">
        <v>0</v>
      </c>
      <c r="AG3" s="8">
        <v>3</v>
      </c>
      <c r="AH3" s="7">
        <f>SUM(Table2425678910[[#This Row],[Column3]:[Column33]])</f>
        <v>32</v>
      </c>
    </row>
    <row r="4" spans="1:34" x14ac:dyDescent="0.25">
      <c r="A4" s="8">
        <v>2</v>
      </c>
      <c r="B4" s="7" t="s">
        <v>3</v>
      </c>
      <c r="C4" s="8">
        <v>2</v>
      </c>
      <c r="D4" s="8">
        <v>1</v>
      </c>
      <c r="E4" s="8">
        <v>0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0.5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0</v>
      </c>
      <c r="X4" s="8">
        <v>1</v>
      </c>
      <c r="Y4" s="8">
        <v>1</v>
      </c>
      <c r="Z4" s="8">
        <v>1</v>
      </c>
      <c r="AA4" s="8">
        <v>0.5</v>
      </c>
      <c r="AB4" s="8">
        <v>1</v>
      </c>
      <c r="AC4" s="8">
        <v>1</v>
      </c>
      <c r="AD4" s="8">
        <v>1</v>
      </c>
      <c r="AE4" s="8">
        <v>0</v>
      </c>
      <c r="AF4" s="8">
        <v>3</v>
      </c>
      <c r="AG4" s="8">
        <v>1.5</v>
      </c>
      <c r="AH4" s="7">
        <f>SUM(Table2425678910[[#This Row],[Column3]:[Column33]])</f>
        <v>30.5</v>
      </c>
    </row>
    <row r="5" spans="1:34" x14ac:dyDescent="0.25">
      <c r="A5" s="8">
        <v>3</v>
      </c>
      <c r="B5" s="7" t="s">
        <v>4</v>
      </c>
      <c r="C5" s="8">
        <v>0</v>
      </c>
      <c r="D5" s="8">
        <v>1.5</v>
      </c>
      <c r="E5" s="8">
        <v>1.5</v>
      </c>
      <c r="F5" s="8">
        <v>0</v>
      </c>
      <c r="G5" s="8">
        <v>0</v>
      </c>
      <c r="H5" s="8">
        <v>1</v>
      </c>
      <c r="I5" s="8">
        <v>0</v>
      </c>
      <c r="J5" s="8">
        <v>1</v>
      </c>
      <c r="K5" s="8">
        <v>0</v>
      </c>
      <c r="L5" s="8">
        <v>1</v>
      </c>
      <c r="M5" s="8">
        <v>1</v>
      </c>
      <c r="N5" s="8">
        <v>0</v>
      </c>
      <c r="O5" s="8">
        <v>1</v>
      </c>
      <c r="P5" s="8">
        <v>1</v>
      </c>
      <c r="Q5" s="8">
        <v>0</v>
      </c>
      <c r="R5" s="8">
        <v>0</v>
      </c>
      <c r="S5" s="8">
        <v>1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1</v>
      </c>
      <c r="Z5" s="8">
        <v>0</v>
      </c>
      <c r="AA5" s="8">
        <v>1</v>
      </c>
      <c r="AB5" s="8">
        <v>1</v>
      </c>
      <c r="AC5" s="8">
        <v>0</v>
      </c>
      <c r="AD5" s="8">
        <v>1</v>
      </c>
      <c r="AE5" s="8">
        <v>3</v>
      </c>
      <c r="AF5" s="8">
        <v>4.5</v>
      </c>
      <c r="AG5" s="8">
        <v>0</v>
      </c>
      <c r="AH5" s="7">
        <f>SUM(Table2425678910[[#This Row],[Column3]:[Column33]])</f>
        <v>21.5</v>
      </c>
    </row>
    <row r="6" spans="1:34" x14ac:dyDescent="0.25">
      <c r="A6" s="8">
        <v>4</v>
      </c>
      <c r="B6" s="7" t="s">
        <v>6</v>
      </c>
      <c r="C6" s="8">
        <v>2</v>
      </c>
      <c r="D6" s="8">
        <v>0</v>
      </c>
      <c r="E6" s="8">
        <v>0.5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7">
        <f>SUM(Table2425678910[[#This Row],[Column3]:[Column33]])</f>
        <v>2.5</v>
      </c>
    </row>
    <row r="7" spans="1:34" x14ac:dyDescent="0.25">
      <c r="A7" s="8">
        <v>5</v>
      </c>
      <c r="B7" s="7" t="s">
        <v>15</v>
      </c>
      <c r="C7" s="8">
        <v>0</v>
      </c>
      <c r="D7" s="8">
        <v>0</v>
      </c>
      <c r="E7" s="8">
        <v>0</v>
      </c>
      <c r="F7" s="8">
        <v>1</v>
      </c>
      <c r="G7" s="8">
        <v>1</v>
      </c>
      <c r="H7" s="8">
        <v>0</v>
      </c>
      <c r="I7" s="8">
        <v>1</v>
      </c>
      <c r="J7" s="8">
        <v>0</v>
      </c>
      <c r="K7" s="8">
        <v>1</v>
      </c>
      <c r="L7" s="8">
        <v>0</v>
      </c>
      <c r="M7" s="8">
        <v>0</v>
      </c>
      <c r="N7" s="8">
        <v>1</v>
      </c>
      <c r="O7" s="8">
        <v>0</v>
      </c>
      <c r="P7" s="8">
        <v>0</v>
      </c>
      <c r="Q7" s="8">
        <v>1</v>
      </c>
      <c r="R7" s="8">
        <v>1</v>
      </c>
      <c r="S7" s="8">
        <v>0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0</v>
      </c>
      <c r="Z7" s="8">
        <v>1</v>
      </c>
      <c r="AA7" s="8">
        <v>0</v>
      </c>
      <c r="AB7" s="8">
        <v>0</v>
      </c>
      <c r="AC7" s="8">
        <v>1</v>
      </c>
      <c r="AD7" s="8">
        <v>1</v>
      </c>
      <c r="AE7" s="8">
        <v>0</v>
      </c>
      <c r="AF7" s="8">
        <v>1.5</v>
      </c>
      <c r="AG7" s="8">
        <v>3</v>
      </c>
      <c r="AH7" s="7">
        <f>SUM(Table2425678910[[#This Row],[Column3]:[Column33]])</f>
        <v>19.5</v>
      </c>
    </row>
    <row r="12" spans="1:34" x14ac:dyDescent="0.25">
      <c r="B12" t="s">
        <v>17</v>
      </c>
    </row>
    <row r="13" spans="1:34" x14ac:dyDescent="0.25">
      <c r="B13" t="s">
        <v>18</v>
      </c>
      <c r="Z13" s="5"/>
    </row>
    <row r="14" spans="1:34" x14ac:dyDescent="0.25">
      <c r="B14" t="s">
        <v>19</v>
      </c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"/>
  <sheetViews>
    <sheetView workbookViewId="0">
      <selection activeCell="X26" sqref="X26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30" width="5.28515625" customWidth="1"/>
    <col min="31" max="31" width="12" style="1" customWidth="1"/>
  </cols>
  <sheetData>
    <row r="1" spans="1:31" ht="56.25" customHeight="1" x14ac:dyDescent="0.25">
      <c r="A1" s="20" t="s">
        <v>0</v>
      </c>
      <c r="B1" s="20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20" t="s">
        <v>7</v>
      </c>
    </row>
    <row r="2" spans="1:31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/>
    </row>
    <row r="3" spans="1:31" x14ac:dyDescent="0.25">
      <c r="A3" s="8">
        <v>1</v>
      </c>
      <c r="B3" s="7" t="s">
        <v>8</v>
      </c>
      <c r="C3" s="8">
        <v>1</v>
      </c>
      <c r="D3" s="8">
        <v>1</v>
      </c>
      <c r="E3" s="17">
        <v>1</v>
      </c>
      <c r="F3" s="8">
        <v>0.5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1</v>
      </c>
      <c r="AC3" s="8">
        <v>0.5</v>
      </c>
      <c r="AD3" s="8">
        <v>0</v>
      </c>
      <c r="AE3" s="8">
        <f>SUM(Table242567891011[[#This Row],[Column3]:[Column30]])</f>
        <v>26</v>
      </c>
    </row>
    <row r="4" spans="1:31" x14ac:dyDescent="0.25">
      <c r="A4" s="8">
        <v>2</v>
      </c>
      <c r="B4" s="7" t="s">
        <v>3</v>
      </c>
      <c r="C4" s="8">
        <v>0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0.5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0.5</v>
      </c>
      <c r="X4" s="8">
        <v>1</v>
      </c>
      <c r="Y4" s="8">
        <v>0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f>SUM(Table242567891011[[#This Row],[Column3]:[Column30]])</f>
        <v>25</v>
      </c>
    </row>
    <row r="5" spans="1:31" x14ac:dyDescent="0.25">
      <c r="A5" s="8">
        <v>3</v>
      </c>
      <c r="B5" s="7" t="s">
        <v>20</v>
      </c>
      <c r="C5" s="8"/>
      <c r="D5" s="8"/>
      <c r="E5" s="8"/>
      <c r="F5" s="8"/>
      <c r="G5" s="8"/>
      <c r="H5" s="8"/>
      <c r="I5" s="8"/>
      <c r="J5" s="8"/>
      <c r="K5" s="8"/>
      <c r="L5" s="8">
        <v>1</v>
      </c>
      <c r="M5" s="8">
        <v>0</v>
      </c>
      <c r="N5" s="8">
        <v>1</v>
      </c>
      <c r="O5" s="8">
        <v>0</v>
      </c>
      <c r="P5" s="8">
        <v>1</v>
      </c>
      <c r="Q5" s="8">
        <v>1</v>
      </c>
      <c r="R5" s="8">
        <v>0</v>
      </c>
      <c r="S5" s="8">
        <v>0</v>
      </c>
      <c r="T5" s="8">
        <v>0</v>
      </c>
      <c r="U5" s="8">
        <v>1</v>
      </c>
      <c r="V5" s="8">
        <v>0</v>
      </c>
      <c r="W5" s="8">
        <v>0</v>
      </c>
      <c r="X5" s="8">
        <v>1</v>
      </c>
      <c r="Y5" s="8">
        <v>0</v>
      </c>
      <c r="Z5" s="8">
        <v>0</v>
      </c>
      <c r="AA5" s="8">
        <v>0</v>
      </c>
      <c r="AB5" s="8">
        <v>0</v>
      </c>
      <c r="AC5" s="8">
        <v>1</v>
      </c>
      <c r="AD5" s="8">
        <v>1</v>
      </c>
      <c r="AE5" s="8">
        <f>SUM(Table242567891011[[#This Row],[Column3]:[Column30]])</f>
        <v>8</v>
      </c>
    </row>
    <row r="6" spans="1:31" x14ac:dyDescent="0.25">
      <c r="A6" s="8">
        <v>4</v>
      </c>
      <c r="B6" s="7" t="s">
        <v>6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1</v>
      </c>
      <c r="W6" s="8">
        <v>0</v>
      </c>
      <c r="X6" s="8">
        <v>0</v>
      </c>
      <c r="Y6" s="8">
        <v>0</v>
      </c>
      <c r="Z6" s="8">
        <v>1</v>
      </c>
      <c r="AA6" s="8">
        <v>0</v>
      </c>
      <c r="AB6" s="8">
        <v>0</v>
      </c>
      <c r="AC6" s="8">
        <v>0</v>
      </c>
      <c r="AD6" s="8">
        <v>0</v>
      </c>
      <c r="AE6" s="8">
        <f>SUM(Table242567891011[[#This Row],[Column3]:[Column30]])</f>
        <v>2</v>
      </c>
    </row>
    <row r="7" spans="1:31" x14ac:dyDescent="0.25">
      <c r="A7" s="8">
        <v>5</v>
      </c>
      <c r="B7" s="7" t="s">
        <v>15</v>
      </c>
      <c r="C7" s="8">
        <v>1</v>
      </c>
      <c r="D7" s="8">
        <v>1</v>
      </c>
      <c r="E7" s="8">
        <v>1</v>
      </c>
      <c r="F7" s="8">
        <v>1.5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0.5</v>
      </c>
      <c r="M7" s="8">
        <v>1</v>
      </c>
      <c r="N7" s="8">
        <v>0</v>
      </c>
      <c r="O7" s="8">
        <v>1</v>
      </c>
      <c r="P7" s="8">
        <v>0</v>
      </c>
      <c r="Q7" s="8">
        <v>0</v>
      </c>
      <c r="R7" s="8">
        <v>1</v>
      </c>
      <c r="S7" s="8">
        <v>1</v>
      </c>
      <c r="T7" s="8">
        <v>1</v>
      </c>
      <c r="U7" s="8">
        <v>0</v>
      </c>
      <c r="V7" s="8">
        <v>0</v>
      </c>
      <c r="W7" s="8">
        <v>1</v>
      </c>
      <c r="X7" s="8">
        <v>0</v>
      </c>
      <c r="Y7" s="8">
        <v>1</v>
      </c>
      <c r="Z7" s="8">
        <v>0</v>
      </c>
      <c r="AA7" s="8">
        <v>1</v>
      </c>
      <c r="AB7" s="8">
        <v>1</v>
      </c>
      <c r="AC7" s="8">
        <v>0.5</v>
      </c>
      <c r="AD7" s="8">
        <v>0.5</v>
      </c>
      <c r="AE7" s="8">
        <f>SUM(Table242567891011[[#This Row],[Column3]:[Column30]])</f>
        <v>20</v>
      </c>
    </row>
    <row r="13" spans="1:31" x14ac:dyDescent="0.25">
      <c r="Z13" s="5"/>
    </row>
  </sheetData>
  <mergeCells count="1">
    <mergeCell ref="C1:AD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"/>
  <sheetViews>
    <sheetView workbookViewId="0">
      <selection activeCell="P21" sqref="P21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30" width="5.28515625" customWidth="1"/>
    <col min="31" max="31" width="5.140625" customWidth="1"/>
    <col min="32" max="32" width="5.42578125" customWidth="1"/>
    <col min="33" max="33" width="5.140625" customWidth="1"/>
    <col min="34" max="34" width="12" customWidth="1"/>
  </cols>
  <sheetData>
    <row r="1" spans="1:34" ht="56.25" customHeight="1" x14ac:dyDescent="0.25">
      <c r="A1" s="21" t="s">
        <v>0</v>
      </c>
      <c r="B1" s="21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21" t="s">
        <v>7</v>
      </c>
    </row>
    <row r="2" spans="1:34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8">
        <v>31</v>
      </c>
      <c r="AH2" s="7"/>
    </row>
    <row r="3" spans="1:34" x14ac:dyDescent="0.25">
      <c r="A3" s="8">
        <v>1</v>
      </c>
      <c r="B3" s="7" t="s">
        <v>8</v>
      </c>
      <c r="C3" s="8">
        <v>1</v>
      </c>
      <c r="D3" s="8">
        <v>1</v>
      </c>
      <c r="E3" s="17">
        <v>1</v>
      </c>
      <c r="F3" s="8">
        <v>1</v>
      </c>
      <c r="G3" s="8">
        <v>1</v>
      </c>
      <c r="H3" s="8">
        <v>1</v>
      </c>
      <c r="I3" s="8">
        <v>1</v>
      </c>
      <c r="J3" s="8">
        <v>0.5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1</v>
      </c>
      <c r="AC3" s="8">
        <v>1</v>
      </c>
      <c r="AD3" s="8">
        <v>0</v>
      </c>
      <c r="AE3" s="8">
        <v>0</v>
      </c>
      <c r="AF3" s="8">
        <v>1</v>
      </c>
      <c r="AG3" s="8">
        <v>1</v>
      </c>
      <c r="AH3" s="7">
        <f>SUM(Table242567891013[[#This Row],[Column3]:[Column33]])</f>
        <v>28.5</v>
      </c>
    </row>
    <row r="4" spans="1:34" x14ac:dyDescent="0.25">
      <c r="A4" s="8">
        <v>2</v>
      </c>
      <c r="B4" s="7" t="s">
        <v>3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0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  <c r="Z4" s="8">
        <v>0.5</v>
      </c>
      <c r="AA4" s="8">
        <v>1</v>
      </c>
      <c r="AB4" s="8">
        <v>1</v>
      </c>
      <c r="AC4" s="8">
        <v>0.5</v>
      </c>
      <c r="AD4" s="8">
        <v>1</v>
      </c>
      <c r="AE4" s="8">
        <v>1</v>
      </c>
      <c r="AF4" s="8">
        <v>1</v>
      </c>
      <c r="AG4" s="8">
        <v>1</v>
      </c>
      <c r="AH4" s="7">
        <f>SUM(Table242567891013[[#This Row],[Column3]:[Column33]])</f>
        <v>29</v>
      </c>
    </row>
    <row r="5" spans="1:34" x14ac:dyDescent="0.25">
      <c r="A5" s="8">
        <v>3</v>
      </c>
      <c r="B5" s="7" t="s">
        <v>20</v>
      </c>
      <c r="C5" s="8">
        <v>0</v>
      </c>
      <c r="D5" s="8">
        <v>1</v>
      </c>
      <c r="E5" s="8">
        <v>0</v>
      </c>
      <c r="F5" s="8">
        <v>0</v>
      </c>
      <c r="G5" s="8">
        <v>1</v>
      </c>
      <c r="H5" s="8">
        <v>0</v>
      </c>
      <c r="I5" s="8">
        <v>1</v>
      </c>
      <c r="J5" s="8">
        <v>0</v>
      </c>
      <c r="K5" s="8">
        <v>0</v>
      </c>
      <c r="L5" s="8">
        <v>0</v>
      </c>
      <c r="M5" s="8">
        <v>0</v>
      </c>
      <c r="N5" s="8">
        <v>1</v>
      </c>
      <c r="O5" s="8">
        <v>0</v>
      </c>
      <c r="P5" s="8">
        <v>1</v>
      </c>
      <c r="Q5" s="8">
        <v>0</v>
      </c>
      <c r="R5" s="8">
        <v>0</v>
      </c>
      <c r="S5" s="8">
        <v>0</v>
      </c>
      <c r="T5" s="8">
        <v>0</v>
      </c>
      <c r="U5" s="8">
        <v>1</v>
      </c>
      <c r="V5" s="8">
        <v>0</v>
      </c>
      <c r="W5" s="8">
        <v>1</v>
      </c>
      <c r="X5" s="8">
        <v>0</v>
      </c>
      <c r="Y5" s="8">
        <v>0</v>
      </c>
      <c r="Z5" s="8">
        <v>0</v>
      </c>
      <c r="AA5" s="8">
        <v>1</v>
      </c>
      <c r="AB5" s="8">
        <v>0</v>
      </c>
      <c r="AC5" s="8">
        <v>1</v>
      </c>
      <c r="AD5" s="8">
        <v>1</v>
      </c>
      <c r="AE5" s="8">
        <v>0.5</v>
      </c>
      <c r="AF5" s="8">
        <v>0</v>
      </c>
      <c r="AG5" s="8">
        <v>0</v>
      </c>
      <c r="AH5" s="7">
        <f>SUM(Table242567891013[[#This Row],[Column3]:[Column33]])</f>
        <v>10.5</v>
      </c>
    </row>
    <row r="6" spans="1:34" x14ac:dyDescent="0.25">
      <c r="A6" s="8">
        <v>4</v>
      </c>
      <c r="B6" s="7" t="s">
        <v>6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1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7">
        <f>SUM(Table242567891013[[#This Row],[Column3]:[Column33]])</f>
        <v>1</v>
      </c>
    </row>
    <row r="7" spans="1:34" x14ac:dyDescent="0.25">
      <c r="A7" s="8">
        <v>5</v>
      </c>
      <c r="B7" s="7" t="s">
        <v>15</v>
      </c>
      <c r="C7" s="8">
        <v>1</v>
      </c>
      <c r="D7" s="8">
        <v>0</v>
      </c>
      <c r="E7" s="8">
        <v>1</v>
      </c>
      <c r="F7" s="8">
        <v>1</v>
      </c>
      <c r="G7" s="8">
        <v>0</v>
      </c>
      <c r="H7" s="8">
        <v>1</v>
      </c>
      <c r="I7" s="8">
        <v>0</v>
      </c>
      <c r="J7" s="8">
        <v>1</v>
      </c>
      <c r="K7" s="8">
        <v>1</v>
      </c>
      <c r="L7" s="8">
        <v>1</v>
      </c>
      <c r="M7" s="8">
        <v>0</v>
      </c>
      <c r="N7" s="8">
        <v>0</v>
      </c>
      <c r="O7" s="8">
        <v>1</v>
      </c>
      <c r="P7" s="8">
        <v>0</v>
      </c>
      <c r="Q7" s="8">
        <v>1</v>
      </c>
      <c r="R7" s="8">
        <v>1</v>
      </c>
      <c r="S7" s="8">
        <v>1</v>
      </c>
      <c r="T7" s="8">
        <v>1</v>
      </c>
      <c r="U7" s="8">
        <v>0</v>
      </c>
      <c r="V7" s="8">
        <v>1</v>
      </c>
      <c r="W7" s="8">
        <v>0</v>
      </c>
      <c r="X7" s="8">
        <v>1</v>
      </c>
      <c r="Y7" s="8">
        <v>1</v>
      </c>
      <c r="Z7" s="8">
        <v>1</v>
      </c>
      <c r="AA7" s="8">
        <v>0</v>
      </c>
      <c r="AB7" s="8">
        <v>1</v>
      </c>
      <c r="AC7" s="8">
        <v>0</v>
      </c>
      <c r="AD7" s="8">
        <v>0.75</v>
      </c>
      <c r="AE7" s="8">
        <v>1.5</v>
      </c>
      <c r="AF7" s="8">
        <v>1</v>
      </c>
      <c r="AG7" s="8">
        <v>1</v>
      </c>
      <c r="AH7" s="7">
        <f>SUM(Table242567891013[[#This Row],[Column3]:[Column33]])</f>
        <v>21.25</v>
      </c>
    </row>
    <row r="13" spans="1:34" x14ac:dyDescent="0.25">
      <c r="B13" t="s">
        <v>21</v>
      </c>
      <c r="Z13" s="5"/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"/>
  <sheetViews>
    <sheetView workbookViewId="0">
      <selection activeCell="AE3" sqref="AE3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30" width="5.28515625" customWidth="1"/>
    <col min="31" max="31" width="5.140625" customWidth="1"/>
    <col min="32" max="32" width="5.42578125" customWidth="1"/>
    <col min="33" max="33" width="5.140625" customWidth="1"/>
    <col min="34" max="34" width="12" customWidth="1"/>
  </cols>
  <sheetData>
    <row r="1" spans="1:34" ht="56.25" customHeight="1" x14ac:dyDescent="0.25">
      <c r="A1" s="21" t="s">
        <v>0</v>
      </c>
      <c r="B1" s="21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21" t="s">
        <v>7</v>
      </c>
    </row>
    <row r="2" spans="1:34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18">
        <v>31</v>
      </c>
      <c r="AH2" s="7"/>
    </row>
    <row r="3" spans="1:34" x14ac:dyDescent="0.25">
      <c r="A3" s="8">
        <v>1</v>
      </c>
      <c r="B3" s="7" t="s">
        <v>8</v>
      </c>
      <c r="C3" s="8">
        <v>1</v>
      </c>
      <c r="D3" s="8">
        <v>1</v>
      </c>
      <c r="E3" s="17">
        <v>1</v>
      </c>
      <c r="F3" s="8">
        <v>1</v>
      </c>
      <c r="G3" s="8">
        <v>1</v>
      </c>
      <c r="H3" s="8">
        <v>1</v>
      </c>
      <c r="I3" s="8">
        <v>2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0</v>
      </c>
      <c r="AC3" s="8">
        <v>1</v>
      </c>
      <c r="AD3" s="8">
        <v>1</v>
      </c>
      <c r="AE3" s="8">
        <v>0.5</v>
      </c>
      <c r="AF3" s="8">
        <v>1.5</v>
      </c>
      <c r="AG3" s="18">
        <v>0</v>
      </c>
      <c r="AH3" s="7">
        <f>SUM(Table24256789101314[[#This Row],[Column3]:[Column33]])</f>
        <v>30</v>
      </c>
    </row>
    <row r="4" spans="1:34" x14ac:dyDescent="0.25">
      <c r="A4" s="8">
        <v>2</v>
      </c>
      <c r="B4" s="7" t="s">
        <v>3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0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0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0.5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v>1</v>
      </c>
      <c r="AF4" s="8">
        <v>2</v>
      </c>
      <c r="AG4" s="18">
        <v>0</v>
      </c>
      <c r="AH4" s="7">
        <f>SUM(Table24256789101314[[#This Row],[Column3]:[Column33]])</f>
        <v>28.5</v>
      </c>
    </row>
    <row r="5" spans="1:34" x14ac:dyDescent="0.25">
      <c r="A5" s="8">
        <v>3</v>
      </c>
      <c r="B5" s="7" t="s">
        <v>20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</v>
      </c>
      <c r="L5" s="8">
        <v>1</v>
      </c>
      <c r="M5" s="8">
        <v>0</v>
      </c>
      <c r="N5" s="8">
        <v>0</v>
      </c>
      <c r="O5" s="8">
        <v>0</v>
      </c>
      <c r="P5" s="8">
        <v>1</v>
      </c>
      <c r="Q5" s="8">
        <v>0</v>
      </c>
      <c r="R5" s="8">
        <v>1</v>
      </c>
      <c r="S5" s="8">
        <v>0</v>
      </c>
      <c r="T5" s="8">
        <v>1</v>
      </c>
      <c r="U5" s="8">
        <v>0</v>
      </c>
      <c r="V5" s="8">
        <v>0</v>
      </c>
      <c r="W5" s="8">
        <v>0</v>
      </c>
      <c r="X5" s="8">
        <v>0</v>
      </c>
      <c r="Y5" s="8">
        <v>1</v>
      </c>
      <c r="Z5" s="8">
        <v>0</v>
      </c>
      <c r="AA5" s="8">
        <v>1</v>
      </c>
      <c r="AB5" s="8">
        <v>0</v>
      </c>
      <c r="AC5" s="8">
        <v>0</v>
      </c>
      <c r="AD5" s="8">
        <v>0</v>
      </c>
      <c r="AE5" s="8">
        <v>0</v>
      </c>
      <c r="AF5" s="8">
        <v>2</v>
      </c>
      <c r="AG5" s="18">
        <v>0</v>
      </c>
      <c r="AH5" s="7">
        <f>SUM(Table24256789101314[[#This Row],[Column3]:[Column33]])</f>
        <v>9</v>
      </c>
    </row>
    <row r="6" spans="1:34" x14ac:dyDescent="0.25">
      <c r="A6" s="8">
        <v>4</v>
      </c>
      <c r="B6" s="7" t="s">
        <v>6</v>
      </c>
      <c r="C6" s="8">
        <v>0</v>
      </c>
      <c r="D6" s="8">
        <v>1</v>
      </c>
      <c r="E6" s="8">
        <v>1</v>
      </c>
      <c r="F6" s="8">
        <v>1</v>
      </c>
      <c r="G6" s="8">
        <v>0</v>
      </c>
      <c r="H6" s="8">
        <v>0</v>
      </c>
      <c r="I6" s="8">
        <v>0</v>
      </c>
      <c r="J6" s="8">
        <v>1</v>
      </c>
      <c r="K6" s="8">
        <v>0</v>
      </c>
      <c r="L6" s="8">
        <v>0</v>
      </c>
      <c r="M6" s="8">
        <v>1</v>
      </c>
      <c r="N6" s="8">
        <v>1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1</v>
      </c>
      <c r="AC6" s="8">
        <v>0</v>
      </c>
      <c r="AD6" s="8">
        <v>0</v>
      </c>
      <c r="AE6" s="8">
        <v>0</v>
      </c>
      <c r="AF6" s="8">
        <v>0</v>
      </c>
      <c r="AG6" s="18">
        <v>0</v>
      </c>
      <c r="AH6" s="7">
        <f>SUM(Table24256789101314[[#This Row],[Column3]:[Column33]])</f>
        <v>8</v>
      </c>
    </row>
    <row r="7" spans="1:34" x14ac:dyDescent="0.25">
      <c r="A7" s="8">
        <v>5</v>
      </c>
      <c r="B7" s="7" t="s">
        <v>15</v>
      </c>
      <c r="C7" s="8">
        <v>1</v>
      </c>
      <c r="D7" s="8">
        <v>0</v>
      </c>
      <c r="E7" s="8">
        <v>0</v>
      </c>
      <c r="F7" s="8">
        <v>0</v>
      </c>
      <c r="G7" s="8">
        <v>1</v>
      </c>
      <c r="H7" s="8">
        <v>1</v>
      </c>
      <c r="I7" s="8">
        <v>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</v>
      </c>
      <c r="R7" s="8">
        <v>0</v>
      </c>
      <c r="S7" s="8">
        <v>1</v>
      </c>
      <c r="T7" s="8">
        <v>0</v>
      </c>
      <c r="U7" s="8">
        <v>1</v>
      </c>
      <c r="V7" s="8">
        <v>1</v>
      </c>
      <c r="W7" s="8">
        <v>1</v>
      </c>
      <c r="X7" s="8">
        <v>1</v>
      </c>
      <c r="Y7" s="8">
        <v>0</v>
      </c>
      <c r="Z7" s="8">
        <v>1</v>
      </c>
      <c r="AA7" s="8">
        <v>0</v>
      </c>
      <c r="AB7" s="8">
        <v>1</v>
      </c>
      <c r="AC7" s="8">
        <v>1</v>
      </c>
      <c r="AD7" s="8">
        <v>1</v>
      </c>
      <c r="AE7" s="8">
        <v>1</v>
      </c>
      <c r="AF7" s="8">
        <v>0</v>
      </c>
      <c r="AG7" s="18">
        <v>0</v>
      </c>
      <c r="AH7" s="7">
        <f>SUM(Table24256789101314[[#This Row],[Column3]:[Column33]])</f>
        <v>16</v>
      </c>
    </row>
    <row r="12" spans="1:34" x14ac:dyDescent="0.25">
      <c r="B12" t="s">
        <v>22</v>
      </c>
    </row>
    <row r="13" spans="1:34" x14ac:dyDescent="0.25">
      <c r="Z13" s="5"/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"/>
  <sheetViews>
    <sheetView workbookViewId="0">
      <selection activeCell="AF3" sqref="AF3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30" width="5.28515625" customWidth="1"/>
    <col min="31" max="31" width="5.140625" customWidth="1"/>
    <col min="32" max="32" width="5.42578125" customWidth="1"/>
    <col min="33" max="33" width="5.140625" customWidth="1"/>
    <col min="34" max="34" width="12" customWidth="1"/>
  </cols>
  <sheetData>
    <row r="1" spans="1:34" ht="56.25" customHeight="1" x14ac:dyDescent="0.25">
      <c r="A1" s="22" t="s">
        <v>0</v>
      </c>
      <c r="B1" s="22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22" t="s">
        <v>7</v>
      </c>
    </row>
    <row r="2" spans="1:34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7">
        <v>31</v>
      </c>
      <c r="AH2" s="7"/>
    </row>
    <row r="3" spans="1:34" x14ac:dyDescent="0.25">
      <c r="A3" s="8">
        <v>1</v>
      </c>
      <c r="B3" s="7" t="s">
        <v>8</v>
      </c>
      <c r="C3" s="8">
        <v>2</v>
      </c>
      <c r="D3" s="8">
        <v>0</v>
      </c>
      <c r="E3" s="17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0</v>
      </c>
      <c r="Y3" s="8">
        <v>0</v>
      </c>
      <c r="Z3" s="8">
        <v>0</v>
      </c>
      <c r="AA3" s="8">
        <v>0</v>
      </c>
      <c r="AB3" s="8">
        <v>1</v>
      </c>
      <c r="AC3" s="8">
        <v>1</v>
      </c>
      <c r="AD3" s="8">
        <v>0.75</v>
      </c>
      <c r="AE3" s="8">
        <v>1</v>
      </c>
      <c r="AF3" s="8">
        <v>0.75</v>
      </c>
      <c r="AG3" s="7">
        <v>1</v>
      </c>
      <c r="AH3" s="7">
        <f>SUM(Table2425678910131412[[#This Row],[Column3]:[Column33]])</f>
        <v>26.5</v>
      </c>
    </row>
    <row r="4" spans="1:34" x14ac:dyDescent="0.25">
      <c r="A4" s="8">
        <v>2</v>
      </c>
      <c r="B4" s="7" t="s">
        <v>3</v>
      </c>
      <c r="C4" s="8">
        <v>2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0.5</v>
      </c>
      <c r="P4" s="8">
        <v>0.5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0</v>
      </c>
      <c r="Z4" s="8">
        <v>1</v>
      </c>
      <c r="AA4" s="8">
        <v>0</v>
      </c>
      <c r="AB4" s="8">
        <v>1</v>
      </c>
      <c r="AC4" s="8">
        <v>1</v>
      </c>
      <c r="AD4" s="8">
        <v>1</v>
      </c>
      <c r="AE4" s="8">
        <v>1</v>
      </c>
      <c r="AF4" s="8">
        <v>1</v>
      </c>
      <c r="AG4" s="7">
        <v>1</v>
      </c>
      <c r="AH4" s="7">
        <f>SUM(Table2425678910131412[[#This Row],[Column3]:[Column33]])</f>
        <v>29</v>
      </c>
    </row>
    <row r="5" spans="1:34" x14ac:dyDescent="0.25">
      <c r="A5" s="8">
        <v>3</v>
      </c>
      <c r="B5" s="7" t="s">
        <v>20</v>
      </c>
      <c r="C5" s="8">
        <v>0</v>
      </c>
      <c r="D5" s="8">
        <v>1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1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7">
        <v>0</v>
      </c>
      <c r="AH5" s="7">
        <f>SUM(Table2425678910131412[[#This Row],[Column3]:[Column33]])</f>
        <v>2</v>
      </c>
    </row>
    <row r="6" spans="1:34" x14ac:dyDescent="0.25">
      <c r="A6" s="8">
        <v>4</v>
      </c>
      <c r="B6" s="7" t="s">
        <v>6</v>
      </c>
      <c r="C6" s="8">
        <v>0</v>
      </c>
      <c r="D6" s="8">
        <v>0</v>
      </c>
      <c r="E6" s="8">
        <v>0</v>
      </c>
      <c r="F6" s="8">
        <v>1</v>
      </c>
      <c r="G6" s="8">
        <v>1</v>
      </c>
      <c r="H6" s="8">
        <v>0</v>
      </c>
      <c r="I6" s="8">
        <v>0</v>
      </c>
      <c r="J6" s="8">
        <v>1</v>
      </c>
      <c r="K6" s="8">
        <v>0</v>
      </c>
      <c r="L6" s="8">
        <v>0</v>
      </c>
      <c r="M6" s="8">
        <v>1</v>
      </c>
      <c r="N6" s="8">
        <v>1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0.5</v>
      </c>
      <c r="W6" s="8">
        <v>0.5</v>
      </c>
      <c r="X6" s="8">
        <v>0</v>
      </c>
      <c r="Y6" s="8">
        <v>1</v>
      </c>
      <c r="Z6" s="8">
        <v>1</v>
      </c>
      <c r="AA6" s="8">
        <v>0</v>
      </c>
      <c r="AB6" s="8">
        <v>0</v>
      </c>
      <c r="AC6" s="8">
        <v>1</v>
      </c>
      <c r="AD6" s="8">
        <v>0</v>
      </c>
      <c r="AE6" s="8">
        <v>0</v>
      </c>
      <c r="AF6" s="8">
        <v>0</v>
      </c>
      <c r="AG6" s="7">
        <v>0</v>
      </c>
      <c r="AH6" s="7">
        <f>SUM(Table2425678910131412[[#This Row],[Column3]:[Column33]])</f>
        <v>9</v>
      </c>
    </row>
    <row r="7" spans="1:34" x14ac:dyDescent="0.25">
      <c r="A7" s="8">
        <v>5</v>
      </c>
      <c r="B7" s="7" t="s">
        <v>15</v>
      </c>
      <c r="C7" s="8">
        <v>2</v>
      </c>
      <c r="D7" s="8">
        <v>0</v>
      </c>
      <c r="E7" s="8">
        <v>1</v>
      </c>
      <c r="F7" s="8">
        <v>0</v>
      </c>
      <c r="G7" s="8">
        <v>0</v>
      </c>
      <c r="H7" s="8">
        <v>1</v>
      </c>
      <c r="I7" s="8">
        <v>1</v>
      </c>
      <c r="J7" s="8">
        <v>0</v>
      </c>
      <c r="K7" s="8">
        <v>1</v>
      </c>
      <c r="L7" s="8">
        <v>1</v>
      </c>
      <c r="M7" s="8">
        <v>0</v>
      </c>
      <c r="N7" s="8">
        <v>0</v>
      </c>
      <c r="O7" s="8">
        <v>1</v>
      </c>
      <c r="P7" s="8">
        <v>1</v>
      </c>
      <c r="Q7" s="8">
        <v>1</v>
      </c>
      <c r="R7" s="8">
        <v>0</v>
      </c>
      <c r="S7" s="8">
        <v>1</v>
      </c>
      <c r="T7" s="8">
        <v>1</v>
      </c>
      <c r="U7" s="8">
        <v>1</v>
      </c>
      <c r="V7" s="8">
        <v>0.5</v>
      </c>
      <c r="W7" s="8">
        <v>0.5</v>
      </c>
      <c r="X7" s="8">
        <v>1</v>
      </c>
      <c r="Y7" s="8">
        <v>1</v>
      </c>
      <c r="Z7" s="8">
        <v>1</v>
      </c>
      <c r="AA7" s="8">
        <v>1.5</v>
      </c>
      <c r="AB7" s="8">
        <v>1</v>
      </c>
      <c r="AC7" s="8">
        <v>0</v>
      </c>
      <c r="AD7" s="8">
        <v>1</v>
      </c>
      <c r="AE7" s="8">
        <v>1</v>
      </c>
      <c r="AF7" s="8">
        <v>1.25</v>
      </c>
      <c r="AG7" s="7">
        <v>1</v>
      </c>
      <c r="AH7" s="7">
        <f>SUM(Table2425678910131412[[#This Row],[Column3]:[Column33]])</f>
        <v>23.75</v>
      </c>
    </row>
    <row r="9" spans="1:34" x14ac:dyDescent="0.25">
      <c r="B9" t="s">
        <v>23</v>
      </c>
    </row>
    <row r="13" spans="1:34" x14ac:dyDescent="0.25">
      <c r="Z13" s="5"/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"/>
  <sheetViews>
    <sheetView workbookViewId="0">
      <selection activeCell="C6" sqref="C6:AF6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30" width="5.28515625" customWidth="1"/>
    <col min="31" max="31" width="5.140625" customWidth="1"/>
    <col min="32" max="32" width="5.42578125" customWidth="1"/>
    <col min="33" max="33" width="5.140625" customWidth="1"/>
    <col min="34" max="34" width="12" customWidth="1"/>
  </cols>
  <sheetData>
    <row r="1" spans="1:34" ht="56.25" customHeight="1" x14ac:dyDescent="0.25">
      <c r="A1" s="22" t="s">
        <v>0</v>
      </c>
      <c r="B1" s="22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22" t="s">
        <v>7</v>
      </c>
    </row>
    <row r="2" spans="1:34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25">
        <v>31</v>
      </c>
      <c r="AH2" s="7"/>
    </row>
    <row r="3" spans="1:34" x14ac:dyDescent="0.25">
      <c r="A3" s="8">
        <v>1</v>
      </c>
      <c r="B3" s="7" t="s">
        <v>8</v>
      </c>
      <c r="C3" s="8">
        <v>1</v>
      </c>
      <c r="D3" s="8">
        <v>1</v>
      </c>
      <c r="E3" s="17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0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0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8">
        <v>1</v>
      </c>
      <c r="AG3" s="25"/>
      <c r="AH3" s="7">
        <f>SUM(Table242567891013141215[[#This Row],[Column3]:[Column33]])</f>
        <v>28</v>
      </c>
    </row>
    <row r="4" spans="1:34" x14ac:dyDescent="0.25">
      <c r="A4" s="8">
        <v>2</v>
      </c>
      <c r="B4" s="7" t="s">
        <v>3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0.5</v>
      </c>
      <c r="Z4" s="8">
        <v>0.5</v>
      </c>
      <c r="AA4" s="8">
        <v>0.5</v>
      </c>
      <c r="AB4" s="8">
        <v>0.5</v>
      </c>
      <c r="AC4" s="8">
        <v>1</v>
      </c>
      <c r="AD4" s="8">
        <v>1</v>
      </c>
      <c r="AE4" s="8">
        <v>1</v>
      </c>
      <c r="AF4" s="8">
        <v>1</v>
      </c>
      <c r="AG4" s="25"/>
      <c r="AH4" s="7">
        <f>SUM(Table242567891013141215[[#This Row],[Column3]:[Column33]])</f>
        <v>28</v>
      </c>
    </row>
    <row r="5" spans="1:34" x14ac:dyDescent="0.25">
      <c r="A5" s="8">
        <v>3</v>
      </c>
      <c r="B5" s="7" t="s">
        <v>29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>
        <v>1</v>
      </c>
      <c r="AE5" s="8">
        <v>1</v>
      </c>
      <c r="AF5" s="8">
        <v>1</v>
      </c>
      <c r="AG5" s="25"/>
      <c r="AH5" s="7">
        <f>SUM(Table242567891013141215[[#This Row],[Column3]:[Column33]])</f>
        <v>3</v>
      </c>
    </row>
    <row r="6" spans="1:34" x14ac:dyDescent="0.25">
      <c r="A6" s="8">
        <v>4</v>
      </c>
      <c r="B6" s="7" t="s">
        <v>15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1.5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  <c r="Z6" s="8">
        <v>1.5</v>
      </c>
      <c r="AA6" s="8">
        <v>1</v>
      </c>
      <c r="AB6" s="8">
        <v>1</v>
      </c>
      <c r="AC6" s="8">
        <v>1</v>
      </c>
      <c r="AD6" s="8">
        <v>1</v>
      </c>
      <c r="AE6" s="8">
        <v>0.5</v>
      </c>
      <c r="AF6" s="8">
        <v>0</v>
      </c>
      <c r="AG6" s="25"/>
      <c r="AH6" s="7">
        <f>SUM(Table242567891013141215[[#This Row],[Column3]:[Column33]])</f>
        <v>29.5</v>
      </c>
    </row>
    <row r="8" spans="1:34" x14ac:dyDescent="0.25">
      <c r="B8" t="s">
        <v>24</v>
      </c>
    </row>
    <row r="9" spans="1:34" x14ac:dyDescent="0.25">
      <c r="B9" s="26" t="s">
        <v>25</v>
      </c>
    </row>
    <row r="10" spans="1:34" x14ac:dyDescent="0.25">
      <c r="B10" s="26" t="s">
        <v>26</v>
      </c>
      <c r="AH10" s="24">
        <f>SUM(Table242567891013141215[[#This Row],[Column3]:[Column32]])</f>
        <v>0</v>
      </c>
    </row>
    <row r="11" spans="1:34" x14ac:dyDescent="0.25">
      <c r="B11" t="s">
        <v>27</v>
      </c>
      <c r="AH11" s="24">
        <f>SUM(Table242567891013141215[[#This Row],[Column3]:[Column32]])</f>
        <v>0</v>
      </c>
    </row>
    <row r="12" spans="1:34" x14ac:dyDescent="0.25">
      <c r="B12" t="s">
        <v>28</v>
      </c>
      <c r="Z12" s="5"/>
      <c r="AH12" s="24">
        <f>SUM(Table242567891013141215[[#This Row],[Column3]:[Column32]])</f>
        <v>0</v>
      </c>
    </row>
    <row r="13" spans="1:34" x14ac:dyDescent="0.25">
      <c r="B13" t="s">
        <v>30</v>
      </c>
      <c r="AH13" s="24">
        <f>SUM(Table242567891013141215[[#This Row],[Column3]:[Column32]])</f>
        <v>0</v>
      </c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"/>
  <sheetViews>
    <sheetView workbookViewId="0">
      <selection activeCell="AG3" sqref="AG3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30" width="5.28515625" customWidth="1"/>
    <col min="31" max="31" width="5.140625" customWidth="1"/>
    <col min="32" max="32" width="5.42578125" customWidth="1"/>
    <col min="33" max="33" width="5.140625" customWidth="1"/>
    <col min="34" max="34" width="12" customWidth="1"/>
  </cols>
  <sheetData>
    <row r="1" spans="1:34" ht="56.25" customHeight="1" x14ac:dyDescent="0.25">
      <c r="A1" s="23" t="s">
        <v>0</v>
      </c>
      <c r="B1" s="23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23" t="s">
        <v>7</v>
      </c>
    </row>
    <row r="2" spans="1:34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7">
        <v>31</v>
      </c>
      <c r="AH2" s="7"/>
    </row>
    <row r="3" spans="1:34" x14ac:dyDescent="0.25">
      <c r="A3" s="8">
        <v>1</v>
      </c>
      <c r="B3" s="7" t="s">
        <v>8</v>
      </c>
      <c r="C3" s="8">
        <v>1</v>
      </c>
      <c r="D3" s="8">
        <v>1</v>
      </c>
      <c r="E3" s="8">
        <v>1</v>
      </c>
      <c r="F3" s="8">
        <v>0.5</v>
      </c>
      <c r="G3" s="8">
        <v>0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0</v>
      </c>
      <c r="Y3" s="8">
        <v>1</v>
      </c>
      <c r="Z3" s="8">
        <v>1</v>
      </c>
      <c r="AA3" s="8">
        <v>0.75</v>
      </c>
      <c r="AB3" s="8">
        <v>1</v>
      </c>
      <c r="AC3" s="8">
        <v>1</v>
      </c>
      <c r="AD3" s="8">
        <v>1</v>
      </c>
      <c r="AE3" s="8">
        <v>1</v>
      </c>
      <c r="AF3" s="8">
        <v>1</v>
      </c>
      <c r="AG3" s="8">
        <v>0.75</v>
      </c>
      <c r="AH3" s="7">
        <f>SUM(Table24256789101314121516[[#This Row],[Column3]:[Column33]])</f>
        <v>28</v>
      </c>
    </row>
    <row r="4" spans="1:34" x14ac:dyDescent="0.25">
      <c r="A4" s="8">
        <v>2</v>
      </c>
      <c r="B4" s="7" t="s">
        <v>3</v>
      </c>
      <c r="C4" s="8">
        <v>1</v>
      </c>
      <c r="D4" s="8">
        <v>0.5</v>
      </c>
      <c r="E4" s="8">
        <v>0.5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v>0.5</v>
      </c>
      <c r="AF4" s="8">
        <v>1</v>
      </c>
      <c r="AG4" s="8">
        <v>0.5</v>
      </c>
      <c r="AH4" s="7">
        <f>SUM(Table24256789101314121516[[#This Row],[Column3]:[Column33]])</f>
        <v>29</v>
      </c>
    </row>
    <row r="5" spans="1:34" x14ac:dyDescent="0.25">
      <c r="A5" s="8">
        <v>3</v>
      </c>
      <c r="B5" s="7" t="s">
        <v>29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0</v>
      </c>
      <c r="I5" s="8">
        <v>0</v>
      </c>
      <c r="J5" s="8">
        <v>1</v>
      </c>
      <c r="K5" s="8">
        <v>1</v>
      </c>
      <c r="L5" s="8">
        <v>1</v>
      </c>
      <c r="M5" s="8">
        <v>0</v>
      </c>
      <c r="N5" s="8">
        <v>1</v>
      </c>
      <c r="O5" s="8">
        <v>1</v>
      </c>
      <c r="P5" s="8">
        <v>0</v>
      </c>
      <c r="Q5" s="8">
        <v>1</v>
      </c>
      <c r="R5" s="8">
        <v>1</v>
      </c>
      <c r="S5" s="8">
        <v>1</v>
      </c>
      <c r="T5" s="8">
        <v>0</v>
      </c>
      <c r="U5" s="8">
        <v>0</v>
      </c>
      <c r="V5" s="8">
        <v>0</v>
      </c>
      <c r="W5" s="8">
        <v>1</v>
      </c>
      <c r="X5" s="8">
        <v>1</v>
      </c>
      <c r="Y5" s="8">
        <v>0</v>
      </c>
      <c r="Z5" s="8">
        <v>1</v>
      </c>
      <c r="AA5" s="8">
        <v>0.25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7">
        <f>SUM(Table24256789101314121516[[#This Row],[Column3]:[Column33]])</f>
        <v>16.25</v>
      </c>
    </row>
    <row r="6" spans="1:34" x14ac:dyDescent="0.25">
      <c r="A6" s="8">
        <v>4</v>
      </c>
      <c r="B6" s="7" t="s">
        <v>15</v>
      </c>
      <c r="C6" s="8">
        <v>0</v>
      </c>
      <c r="D6" s="8">
        <v>0</v>
      </c>
      <c r="E6" s="8">
        <v>0</v>
      </c>
      <c r="F6" s="8">
        <v>0.5</v>
      </c>
      <c r="G6" s="8">
        <v>1</v>
      </c>
      <c r="H6" s="8">
        <v>1</v>
      </c>
      <c r="I6" s="8">
        <v>1</v>
      </c>
      <c r="J6" s="8">
        <v>0</v>
      </c>
      <c r="K6" s="8">
        <v>0</v>
      </c>
      <c r="L6" s="8">
        <v>0</v>
      </c>
      <c r="M6" s="8">
        <v>1</v>
      </c>
      <c r="N6" s="8">
        <v>0</v>
      </c>
      <c r="O6" s="8">
        <v>0</v>
      </c>
      <c r="P6" s="8">
        <v>1</v>
      </c>
      <c r="Q6" s="8">
        <v>0</v>
      </c>
      <c r="R6" s="8">
        <v>0</v>
      </c>
      <c r="S6" s="8">
        <v>0</v>
      </c>
      <c r="T6" s="8">
        <v>1</v>
      </c>
      <c r="U6" s="8">
        <v>1</v>
      </c>
      <c r="V6" s="8">
        <v>1</v>
      </c>
      <c r="W6" s="8">
        <v>0</v>
      </c>
      <c r="X6" s="8">
        <v>1</v>
      </c>
      <c r="Y6" s="8">
        <v>1</v>
      </c>
      <c r="Z6" s="8">
        <v>0</v>
      </c>
      <c r="AA6" s="8">
        <v>1</v>
      </c>
      <c r="AB6" s="8">
        <v>1</v>
      </c>
      <c r="AC6" s="8">
        <v>1</v>
      </c>
      <c r="AD6" s="8">
        <v>1</v>
      </c>
      <c r="AE6" s="8">
        <v>1</v>
      </c>
      <c r="AF6" s="8">
        <v>1</v>
      </c>
      <c r="AG6" s="8">
        <v>1.25</v>
      </c>
      <c r="AH6" s="7">
        <f>SUM(Table24256789101314121516[[#This Row],[Column3]:[Column33]])</f>
        <v>17.75</v>
      </c>
    </row>
    <row r="8" spans="1:34" x14ac:dyDescent="0.25">
      <c r="B8" t="s">
        <v>31</v>
      </c>
    </row>
    <row r="9" spans="1:34" x14ac:dyDescent="0.25">
      <c r="B9" t="s">
        <v>32</v>
      </c>
    </row>
    <row r="10" spans="1:34" x14ac:dyDescent="0.25">
      <c r="AH10" s="24"/>
    </row>
    <row r="11" spans="1:34" x14ac:dyDescent="0.25">
      <c r="AH11" s="24"/>
    </row>
    <row r="12" spans="1:34" x14ac:dyDescent="0.25">
      <c r="Z12" s="5"/>
      <c r="AH12" s="24"/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"/>
  <sheetViews>
    <sheetView workbookViewId="0">
      <selection activeCell="AF3" sqref="AF3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30" width="5.28515625" customWidth="1"/>
    <col min="31" max="31" width="5.140625" customWidth="1"/>
    <col min="32" max="32" width="5.42578125" customWidth="1"/>
    <col min="33" max="33" width="5.140625" customWidth="1"/>
    <col min="34" max="34" width="12" customWidth="1"/>
  </cols>
  <sheetData>
    <row r="1" spans="1:34" ht="56.25" customHeight="1" x14ac:dyDescent="0.25">
      <c r="A1" s="27" t="s">
        <v>0</v>
      </c>
      <c r="B1" s="27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27" t="s">
        <v>7</v>
      </c>
    </row>
    <row r="2" spans="1:34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7">
        <v>31</v>
      </c>
      <c r="AH2" s="7"/>
    </row>
    <row r="3" spans="1:34" x14ac:dyDescent="0.25">
      <c r="A3" s="8">
        <v>1</v>
      </c>
      <c r="B3" s="7" t="s">
        <v>8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0</v>
      </c>
      <c r="O3" s="8">
        <v>0</v>
      </c>
      <c r="P3" s="8">
        <v>0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0.75</v>
      </c>
      <c r="Y3" s="8">
        <v>1</v>
      </c>
      <c r="Z3" s="8">
        <v>1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8">
        <v>0.75</v>
      </c>
      <c r="AG3" s="8">
        <v>1</v>
      </c>
      <c r="AH3" s="7">
        <f>SUM(Table2425678910131412151617[[#This Row],[Column3]:[Column33]])</f>
        <v>27.5</v>
      </c>
    </row>
    <row r="4" spans="1:34" x14ac:dyDescent="0.25">
      <c r="A4" s="8">
        <v>2</v>
      </c>
      <c r="B4" s="7" t="s">
        <v>3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0.5</v>
      </c>
      <c r="P4" s="8">
        <v>1</v>
      </c>
      <c r="Q4" s="8">
        <v>1</v>
      </c>
      <c r="R4" s="8">
        <v>1</v>
      </c>
      <c r="S4" s="8">
        <v>1</v>
      </c>
      <c r="T4" s="8">
        <v>0.5</v>
      </c>
      <c r="U4" s="8">
        <v>1</v>
      </c>
      <c r="V4" s="8">
        <v>1</v>
      </c>
      <c r="W4" s="8">
        <v>1</v>
      </c>
      <c r="X4" s="8">
        <v>1</v>
      </c>
      <c r="Y4" s="8">
        <v>1</v>
      </c>
      <c r="Z4" s="8">
        <v>1</v>
      </c>
      <c r="AA4" s="8">
        <v>0.5</v>
      </c>
      <c r="AB4" s="8">
        <v>0.5</v>
      </c>
      <c r="AC4" s="8">
        <v>0.5</v>
      </c>
      <c r="AD4" s="8">
        <v>0.5</v>
      </c>
      <c r="AE4" s="8">
        <v>0.5</v>
      </c>
      <c r="AF4" s="8">
        <v>1</v>
      </c>
      <c r="AG4" s="8">
        <v>1</v>
      </c>
      <c r="AH4" s="7">
        <f>SUM(Table2425678910131412151617[[#This Row],[Column3]:[Column33]])</f>
        <v>27.5</v>
      </c>
    </row>
    <row r="5" spans="1:34" x14ac:dyDescent="0.25">
      <c r="A5" s="8">
        <v>3</v>
      </c>
      <c r="B5" s="7" t="s">
        <v>29</v>
      </c>
      <c r="C5" s="8">
        <v>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1</v>
      </c>
      <c r="AE5" s="8">
        <v>1</v>
      </c>
      <c r="AF5" s="8">
        <v>1.25</v>
      </c>
      <c r="AG5" s="8">
        <v>1</v>
      </c>
      <c r="AH5" s="7">
        <f>SUM(Table2425678910131412151617[[#This Row],[Column3]:[Column33]])</f>
        <v>14.25</v>
      </c>
    </row>
    <row r="6" spans="1:34" x14ac:dyDescent="0.25">
      <c r="A6" s="8">
        <v>4</v>
      </c>
      <c r="B6" s="7" t="s">
        <v>15</v>
      </c>
      <c r="C6" s="8">
        <v>0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  <c r="Z6" s="8">
        <v>1</v>
      </c>
      <c r="AA6" s="8">
        <v>1</v>
      </c>
      <c r="AB6" s="8">
        <v>1</v>
      </c>
      <c r="AC6" s="8">
        <v>1</v>
      </c>
      <c r="AD6" s="8">
        <v>0</v>
      </c>
      <c r="AE6" s="8">
        <v>0</v>
      </c>
      <c r="AF6" s="8">
        <v>0</v>
      </c>
      <c r="AG6" s="8">
        <v>0</v>
      </c>
      <c r="AH6" s="7">
        <f>SUM(Table2425678910131412151617[[#This Row],[Column3]:[Column33]])</f>
        <v>16</v>
      </c>
    </row>
    <row r="7" spans="1:34" x14ac:dyDescent="0.25">
      <c r="B7" t="s">
        <v>33</v>
      </c>
    </row>
    <row r="8" spans="1:34" x14ac:dyDescent="0.25">
      <c r="B8" s="30" t="s">
        <v>34</v>
      </c>
    </row>
    <row r="9" spans="1:34" x14ac:dyDescent="0.25">
      <c r="B9" t="s">
        <v>35</v>
      </c>
    </row>
    <row r="10" spans="1:34" x14ac:dyDescent="0.25">
      <c r="AH10" s="24"/>
    </row>
    <row r="11" spans="1:34" x14ac:dyDescent="0.25">
      <c r="AH11" s="24"/>
    </row>
    <row r="12" spans="1:34" x14ac:dyDescent="0.25">
      <c r="Z12" s="5"/>
      <c r="AH12" s="24"/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"/>
  <sheetViews>
    <sheetView workbookViewId="0">
      <selection activeCell="AF3" sqref="AF3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30" width="5.28515625" customWidth="1"/>
    <col min="31" max="31" width="5.140625" customWidth="1"/>
    <col min="32" max="32" width="5.42578125" customWidth="1"/>
    <col min="33" max="33" width="5.140625" customWidth="1"/>
    <col min="34" max="34" width="12" customWidth="1"/>
  </cols>
  <sheetData>
    <row r="1" spans="1:34" ht="56.25" customHeight="1" x14ac:dyDescent="0.25">
      <c r="A1" s="28" t="s">
        <v>0</v>
      </c>
      <c r="B1" s="28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28" t="s">
        <v>7</v>
      </c>
    </row>
    <row r="2" spans="1:34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7">
        <v>31</v>
      </c>
      <c r="AH2" s="7"/>
    </row>
    <row r="3" spans="1:34" x14ac:dyDescent="0.25">
      <c r="A3" s="8">
        <v>1</v>
      </c>
      <c r="B3" s="7" t="s">
        <v>8</v>
      </c>
      <c r="C3" s="8">
        <v>1</v>
      </c>
      <c r="D3" s="8">
        <v>2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0.75</v>
      </c>
      <c r="P3" s="8">
        <v>0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0.75</v>
      </c>
      <c r="X3" s="8">
        <v>1</v>
      </c>
      <c r="Y3" s="8">
        <v>1</v>
      </c>
      <c r="Z3" s="8">
        <v>1</v>
      </c>
      <c r="AA3" s="8">
        <v>1</v>
      </c>
      <c r="AB3" s="8">
        <v>1</v>
      </c>
      <c r="AC3" s="8">
        <v>0.75</v>
      </c>
      <c r="AD3" s="8">
        <v>0</v>
      </c>
      <c r="AE3" s="8">
        <v>1</v>
      </c>
      <c r="AF3" s="8">
        <v>0.75</v>
      </c>
      <c r="AG3" s="18"/>
      <c r="AH3" s="7">
        <f>SUM(Table242567891013141215161718[[#This Row],[Column3]:[Column33]])</f>
        <v>28</v>
      </c>
    </row>
    <row r="4" spans="1:34" x14ac:dyDescent="0.25">
      <c r="A4" s="8">
        <v>2</v>
      </c>
      <c r="B4" s="7" t="s">
        <v>3</v>
      </c>
      <c r="C4" s="8">
        <v>1</v>
      </c>
      <c r="D4" s="8">
        <v>2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0.5</v>
      </c>
      <c r="T4" s="8">
        <v>1</v>
      </c>
      <c r="U4" s="8">
        <v>0.5</v>
      </c>
      <c r="V4" s="8">
        <v>1</v>
      </c>
      <c r="W4" s="8">
        <v>1</v>
      </c>
      <c r="X4" s="8">
        <v>0.5</v>
      </c>
      <c r="Y4" s="8">
        <v>1</v>
      </c>
      <c r="Z4" s="8">
        <v>1</v>
      </c>
      <c r="AA4" s="8">
        <v>0.5</v>
      </c>
      <c r="AB4" s="8">
        <v>1</v>
      </c>
      <c r="AC4" s="8">
        <v>1</v>
      </c>
      <c r="AD4" s="8">
        <v>0</v>
      </c>
      <c r="AE4" s="8">
        <v>1</v>
      </c>
      <c r="AF4" s="8">
        <v>1</v>
      </c>
      <c r="AG4" s="18"/>
      <c r="AH4" s="7">
        <f>SUM(Table242567891013141215161718[[#This Row],[Column3]:[Column33]])</f>
        <v>28</v>
      </c>
    </row>
    <row r="5" spans="1:34" x14ac:dyDescent="0.25">
      <c r="A5" s="8">
        <v>3</v>
      </c>
      <c r="B5" s="7" t="s">
        <v>29</v>
      </c>
      <c r="C5" s="8">
        <v>0</v>
      </c>
      <c r="D5" s="8">
        <v>2</v>
      </c>
      <c r="E5" s="8">
        <v>0</v>
      </c>
      <c r="F5" s="8">
        <v>0</v>
      </c>
      <c r="G5" s="8">
        <v>1</v>
      </c>
      <c r="H5" s="8">
        <v>0</v>
      </c>
      <c r="I5" s="8">
        <v>1</v>
      </c>
      <c r="J5" s="8">
        <v>1</v>
      </c>
      <c r="K5" s="8">
        <v>1</v>
      </c>
      <c r="L5" s="8">
        <v>1</v>
      </c>
      <c r="M5" s="8">
        <v>0</v>
      </c>
      <c r="N5" s="8">
        <v>0</v>
      </c>
      <c r="O5" s="8">
        <v>1.25</v>
      </c>
      <c r="P5" s="8">
        <v>0.5</v>
      </c>
      <c r="Q5" s="8">
        <v>1</v>
      </c>
      <c r="R5" s="8">
        <v>1</v>
      </c>
      <c r="S5" s="8">
        <v>1</v>
      </c>
      <c r="T5" s="8">
        <v>0</v>
      </c>
      <c r="U5" s="8">
        <v>0</v>
      </c>
      <c r="V5" s="8">
        <v>0</v>
      </c>
      <c r="W5" s="8">
        <v>0</v>
      </c>
      <c r="X5" s="8">
        <v>1</v>
      </c>
      <c r="Y5" s="8">
        <v>0</v>
      </c>
      <c r="Z5" s="8">
        <v>1</v>
      </c>
      <c r="AA5" s="8">
        <v>0</v>
      </c>
      <c r="AB5" s="8">
        <v>1</v>
      </c>
      <c r="AC5" s="8">
        <v>0</v>
      </c>
      <c r="AD5" s="8">
        <v>0</v>
      </c>
      <c r="AE5" s="8">
        <v>0</v>
      </c>
      <c r="AF5" s="8">
        <v>0</v>
      </c>
      <c r="AG5" s="18"/>
      <c r="AH5" s="7">
        <f>SUM(Table242567891013141215161718[[#This Row],[Column3]:[Column33]])</f>
        <v>14.75</v>
      </c>
    </row>
    <row r="6" spans="1:34" x14ac:dyDescent="0.25">
      <c r="A6" s="8">
        <v>4</v>
      </c>
      <c r="B6" s="7" t="s">
        <v>15</v>
      </c>
      <c r="C6" s="8">
        <v>1</v>
      </c>
      <c r="D6" s="8">
        <v>0</v>
      </c>
      <c r="E6" s="8">
        <v>1</v>
      </c>
      <c r="F6" s="8">
        <v>1</v>
      </c>
      <c r="G6" s="8">
        <v>0</v>
      </c>
      <c r="H6" s="8">
        <v>1</v>
      </c>
      <c r="I6" s="8">
        <v>0</v>
      </c>
      <c r="J6" s="8">
        <v>0</v>
      </c>
      <c r="K6" s="8">
        <v>0</v>
      </c>
      <c r="L6" s="8">
        <v>0</v>
      </c>
      <c r="M6" s="8">
        <v>1</v>
      </c>
      <c r="N6" s="8">
        <v>1</v>
      </c>
      <c r="O6" s="8">
        <v>0</v>
      </c>
      <c r="P6" s="8">
        <v>1</v>
      </c>
      <c r="Q6" s="8">
        <v>0</v>
      </c>
      <c r="R6" s="8">
        <v>0</v>
      </c>
      <c r="S6" s="8">
        <v>0</v>
      </c>
      <c r="T6" s="8">
        <v>1</v>
      </c>
      <c r="U6" s="8">
        <v>1</v>
      </c>
      <c r="V6" s="8">
        <v>1</v>
      </c>
      <c r="W6" s="8">
        <v>1.25</v>
      </c>
      <c r="X6" s="8">
        <v>0</v>
      </c>
      <c r="Y6" s="8">
        <v>1</v>
      </c>
      <c r="Z6" s="8">
        <v>0</v>
      </c>
      <c r="AA6" s="8">
        <v>1</v>
      </c>
      <c r="AB6" s="8">
        <v>0</v>
      </c>
      <c r="AC6" s="8">
        <v>1.25</v>
      </c>
      <c r="AD6" s="8">
        <v>1.5</v>
      </c>
      <c r="AE6" s="8">
        <v>1</v>
      </c>
      <c r="AF6" s="8">
        <v>1.25</v>
      </c>
      <c r="AG6" s="18"/>
      <c r="AH6" s="7">
        <f>SUM(Table242567891013141215161718[[#This Row],[Column3]:[Column33]])</f>
        <v>18.25</v>
      </c>
    </row>
    <row r="8" spans="1:34" x14ac:dyDescent="0.25">
      <c r="B8" t="s">
        <v>36</v>
      </c>
    </row>
    <row r="10" spans="1:34" x14ac:dyDescent="0.25">
      <c r="AH10" s="24"/>
    </row>
    <row r="11" spans="1:34" x14ac:dyDescent="0.25">
      <c r="AH11" s="24"/>
    </row>
    <row r="12" spans="1:34" x14ac:dyDescent="0.25">
      <c r="Z12" s="5"/>
      <c r="AH12" s="24"/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"/>
  <sheetViews>
    <sheetView workbookViewId="0">
      <selection activeCell="T3" sqref="T3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30" width="5.28515625" customWidth="1"/>
    <col min="31" max="31" width="5.140625" customWidth="1"/>
    <col min="32" max="32" width="5.42578125" customWidth="1"/>
    <col min="33" max="33" width="5.140625" customWidth="1"/>
    <col min="34" max="34" width="12" customWidth="1"/>
  </cols>
  <sheetData>
    <row r="1" spans="1:34" ht="56.25" customHeight="1" x14ac:dyDescent="0.25">
      <c r="A1" s="29" t="s">
        <v>0</v>
      </c>
      <c r="B1" s="29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29" t="s">
        <v>7</v>
      </c>
    </row>
    <row r="2" spans="1:34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8">
        <v>31</v>
      </c>
      <c r="AH2" s="7"/>
    </row>
    <row r="3" spans="1:34" x14ac:dyDescent="0.25">
      <c r="A3" s="8">
        <v>1</v>
      </c>
      <c r="B3" s="7" t="s">
        <v>8</v>
      </c>
      <c r="C3" s="8">
        <v>1</v>
      </c>
      <c r="D3" s="8">
        <v>0</v>
      </c>
      <c r="E3" s="8">
        <v>0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8">
        <v>1</v>
      </c>
      <c r="AG3" s="8">
        <v>1</v>
      </c>
      <c r="AH3" s="7">
        <f>SUM(Table24256789101314121516171819[[#This Row],[Column3]:[Column33]])</f>
        <v>22</v>
      </c>
    </row>
    <row r="4" spans="1:34" x14ac:dyDescent="0.25">
      <c r="A4" s="8">
        <v>2</v>
      </c>
      <c r="B4" s="7" t="s">
        <v>3</v>
      </c>
      <c r="C4" s="8">
        <v>1</v>
      </c>
      <c r="D4" s="8">
        <v>0.5</v>
      </c>
      <c r="E4" s="8">
        <v>0</v>
      </c>
      <c r="F4" s="8">
        <v>1</v>
      </c>
      <c r="G4" s="8">
        <v>1</v>
      </c>
      <c r="H4" s="8">
        <v>0.5</v>
      </c>
      <c r="I4" s="8">
        <v>0.5</v>
      </c>
      <c r="J4" s="8">
        <v>0.5</v>
      </c>
      <c r="K4" s="8">
        <v>0.5</v>
      </c>
      <c r="L4" s="8">
        <v>0.5</v>
      </c>
      <c r="M4" s="8">
        <v>0.5</v>
      </c>
      <c r="N4" s="8">
        <v>0.5</v>
      </c>
      <c r="O4" s="8">
        <v>0.5</v>
      </c>
      <c r="P4" s="8">
        <v>1</v>
      </c>
      <c r="Q4" s="8">
        <v>0.5</v>
      </c>
      <c r="R4" s="8">
        <v>0.5</v>
      </c>
      <c r="S4" s="8">
        <v>0.5</v>
      </c>
      <c r="T4" s="8">
        <v>1</v>
      </c>
      <c r="U4" s="8">
        <v>1</v>
      </c>
      <c r="V4" s="8">
        <v>0.5</v>
      </c>
      <c r="W4" s="8">
        <v>0.5</v>
      </c>
      <c r="X4" s="8">
        <v>0.5</v>
      </c>
      <c r="Y4" s="8">
        <v>0.5</v>
      </c>
      <c r="Z4" s="8">
        <v>0.5</v>
      </c>
      <c r="AA4" s="8">
        <v>1</v>
      </c>
      <c r="AB4" s="8">
        <v>0.5</v>
      </c>
      <c r="AC4" s="8">
        <v>0.5</v>
      </c>
      <c r="AD4" s="8">
        <v>0.5</v>
      </c>
      <c r="AE4" s="8">
        <v>0.5</v>
      </c>
      <c r="AF4" s="8">
        <v>0.5</v>
      </c>
      <c r="AG4" s="8">
        <v>0.5</v>
      </c>
      <c r="AH4" s="7">
        <f>SUM(Table24256789101314121516171819[[#This Row],[Column3]:[Column33]])</f>
        <v>18.5</v>
      </c>
    </row>
    <row r="5" spans="1:34" x14ac:dyDescent="0.25">
      <c r="A5" s="8">
        <v>3</v>
      </c>
      <c r="B5" s="7" t="s">
        <v>29</v>
      </c>
      <c r="C5" s="8">
        <v>1</v>
      </c>
      <c r="D5" s="8">
        <v>1</v>
      </c>
      <c r="E5" s="8">
        <v>0.5</v>
      </c>
      <c r="F5" s="8">
        <v>0</v>
      </c>
      <c r="G5" s="8">
        <v>0</v>
      </c>
      <c r="H5" s="8">
        <v>1</v>
      </c>
      <c r="I5" s="8">
        <v>0</v>
      </c>
      <c r="J5" s="8">
        <v>1</v>
      </c>
      <c r="K5" s="8">
        <v>1</v>
      </c>
      <c r="L5" s="8">
        <v>1</v>
      </c>
      <c r="M5" s="8">
        <v>0</v>
      </c>
      <c r="N5" s="8">
        <v>0</v>
      </c>
      <c r="O5" s="8">
        <v>1</v>
      </c>
      <c r="P5" s="8">
        <v>1</v>
      </c>
      <c r="Q5" s="8">
        <v>1</v>
      </c>
      <c r="R5" s="8">
        <v>0</v>
      </c>
      <c r="S5" s="8">
        <v>0</v>
      </c>
      <c r="T5" s="8">
        <v>1</v>
      </c>
      <c r="U5" s="8">
        <v>0.5</v>
      </c>
      <c r="V5" s="8">
        <v>1</v>
      </c>
      <c r="W5" s="8">
        <v>0</v>
      </c>
      <c r="X5" s="8">
        <v>0</v>
      </c>
      <c r="Y5" s="8">
        <v>1.5</v>
      </c>
      <c r="Z5" s="8">
        <v>0.5</v>
      </c>
      <c r="AA5" s="8">
        <v>0</v>
      </c>
      <c r="AB5" s="8">
        <v>0</v>
      </c>
      <c r="AC5" s="8">
        <v>1</v>
      </c>
      <c r="AD5" s="8">
        <v>1</v>
      </c>
      <c r="AE5" s="8">
        <v>0</v>
      </c>
      <c r="AF5" s="8">
        <v>1</v>
      </c>
      <c r="AG5" s="8">
        <v>1</v>
      </c>
      <c r="AH5" s="7">
        <f>SUM(Table24256789101314121516171819[[#This Row],[Column3]:[Column33]])</f>
        <v>18</v>
      </c>
    </row>
    <row r="6" spans="1:34" x14ac:dyDescent="0.25">
      <c r="A6" s="8">
        <v>4</v>
      </c>
      <c r="B6" s="7" t="s">
        <v>15</v>
      </c>
      <c r="C6" s="8">
        <v>0</v>
      </c>
      <c r="D6" s="8">
        <v>0</v>
      </c>
      <c r="E6" s="8">
        <v>1</v>
      </c>
      <c r="F6" s="8">
        <v>1</v>
      </c>
      <c r="G6" s="8">
        <v>1</v>
      </c>
      <c r="H6" s="8">
        <v>0</v>
      </c>
      <c r="I6" s="8">
        <v>1</v>
      </c>
      <c r="J6" s="8">
        <v>0</v>
      </c>
      <c r="K6" s="8">
        <v>0</v>
      </c>
      <c r="L6" s="8">
        <v>0</v>
      </c>
      <c r="M6" s="8">
        <v>1</v>
      </c>
      <c r="N6" s="8">
        <v>1</v>
      </c>
      <c r="O6" s="8">
        <v>0</v>
      </c>
      <c r="P6" s="8">
        <v>0</v>
      </c>
      <c r="Q6" s="8">
        <v>0</v>
      </c>
      <c r="R6" s="8">
        <v>1</v>
      </c>
      <c r="S6" s="8">
        <v>1</v>
      </c>
      <c r="T6" s="8">
        <v>0.5</v>
      </c>
      <c r="U6" s="8">
        <v>1.5</v>
      </c>
      <c r="V6" s="8">
        <v>0</v>
      </c>
      <c r="W6" s="8">
        <v>1</v>
      </c>
      <c r="X6" s="8">
        <v>1.5</v>
      </c>
      <c r="Y6" s="8">
        <v>0.5</v>
      </c>
      <c r="Z6" s="8">
        <v>1</v>
      </c>
      <c r="AA6" s="8">
        <v>1</v>
      </c>
      <c r="AB6" s="8">
        <v>1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7">
        <f>SUM(Table24256789101314121516171819[[#This Row],[Column3]:[Column33]])</f>
        <v>17</v>
      </c>
    </row>
    <row r="8" spans="1:34" x14ac:dyDescent="0.25">
      <c r="A8" t="s">
        <v>37</v>
      </c>
    </row>
    <row r="9" spans="1:34" x14ac:dyDescent="0.25">
      <c r="A9" t="s">
        <v>38</v>
      </c>
    </row>
    <row r="10" spans="1:34" x14ac:dyDescent="0.25">
      <c r="AH10" s="24"/>
    </row>
    <row r="11" spans="1:34" x14ac:dyDescent="0.25">
      <c r="AH11" s="24"/>
    </row>
    <row r="12" spans="1:34" x14ac:dyDescent="0.25">
      <c r="Z12" s="5"/>
      <c r="AH12" s="24"/>
    </row>
    <row r="13" spans="1:34" x14ac:dyDescent="0.25">
      <c r="Z13" t="s">
        <v>39</v>
      </c>
      <c r="AH13" s="24">
        <f>SUM(Table24256789101314121516171819[[#This Row],[Column3]:[Column32]])</f>
        <v>0</v>
      </c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"/>
  <sheetViews>
    <sheetView workbookViewId="0">
      <selection activeCell="B38" sqref="B38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30" width="5.28515625" customWidth="1"/>
    <col min="31" max="31" width="5.140625" customWidth="1"/>
    <col min="32" max="32" width="5.42578125" customWidth="1"/>
    <col min="33" max="33" width="5.140625" customWidth="1"/>
    <col min="34" max="34" width="12" customWidth="1"/>
  </cols>
  <sheetData>
    <row r="1" spans="1:34" ht="56.25" customHeight="1" x14ac:dyDescent="0.25">
      <c r="A1" s="31" t="s">
        <v>0</v>
      </c>
      <c r="B1" s="31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1" t="s">
        <v>7</v>
      </c>
    </row>
    <row r="2" spans="1:34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8">
        <v>31</v>
      </c>
      <c r="AH2" s="7"/>
    </row>
    <row r="3" spans="1:34" x14ac:dyDescent="0.25">
      <c r="A3" s="8">
        <v>1</v>
      </c>
      <c r="B3" s="7" t="s">
        <v>8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0.5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0.75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8">
        <v>0.75</v>
      </c>
      <c r="AG3" s="18"/>
      <c r="AH3" s="7">
        <f>SUM(Table2425678910131412151617181920[[#This Row],[Column3]:[Column33]])</f>
        <v>29</v>
      </c>
    </row>
    <row r="4" spans="1:34" x14ac:dyDescent="0.25">
      <c r="A4" s="8">
        <v>2</v>
      </c>
      <c r="B4" s="7" t="s">
        <v>3</v>
      </c>
      <c r="C4" s="8">
        <v>0.5</v>
      </c>
      <c r="D4" s="8">
        <v>0.5</v>
      </c>
      <c r="E4" s="8">
        <v>0.5</v>
      </c>
      <c r="F4" s="8">
        <v>0.5</v>
      </c>
      <c r="G4" s="8">
        <v>0.5</v>
      </c>
      <c r="H4" s="8">
        <v>0.5</v>
      </c>
      <c r="I4" s="8">
        <v>0.5</v>
      </c>
      <c r="J4" s="8">
        <v>0.5</v>
      </c>
      <c r="K4" s="8">
        <v>0.5</v>
      </c>
      <c r="L4" s="8">
        <v>0.5</v>
      </c>
      <c r="M4" s="8">
        <v>0.5</v>
      </c>
      <c r="N4" s="8">
        <v>0.5</v>
      </c>
      <c r="O4" s="8">
        <v>0.5</v>
      </c>
      <c r="P4" s="1">
        <v>0.5</v>
      </c>
      <c r="Q4" s="8">
        <v>0.5</v>
      </c>
      <c r="R4" s="8">
        <v>0.5</v>
      </c>
      <c r="S4" s="8">
        <v>0.5</v>
      </c>
      <c r="T4" s="8">
        <v>0.5</v>
      </c>
      <c r="U4" s="8">
        <v>0.5</v>
      </c>
      <c r="V4" s="8">
        <v>0.5</v>
      </c>
      <c r="W4" s="8">
        <v>0.5</v>
      </c>
      <c r="X4" s="8">
        <v>0.5</v>
      </c>
      <c r="Y4" s="8">
        <v>0.5</v>
      </c>
      <c r="Z4" s="8">
        <v>0.5</v>
      </c>
      <c r="AA4" s="8">
        <v>0.5</v>
      </c>
      <c r="AB4" s="8">
        <v>0.5</v>
      </c>
      <c r="AC4" s="8">
        <v>0.5</v>
      </c>
      <c r="AD4" s="8">
        <v>0.5</v>
      </c>
      <c r="AE4" s="8">
        <v>0.5</v>
      </c>
      <c r="AF4" s="8">
        <v>0.5</v>
      </c>
      <c r="AG4" s="18"/>
      <c r="AH4" s="7">
        <f>SUM(Table2425678910131412151617181920[[#This Row],[Column3]:[Column33]])</f>
        <v>15</v>
      </c>
    </row>
    <row r="5" spans="1:34" x14ac:dyDescent="0.25">
      <c r="A5" s="8">
        <v>3</v>
      </c>
      <c r="B5" s="7" t="s">
        <v>29</v>
      </c>
      <c r="C5" s="8">
        <v>0</v>
      </c>
      <c r="D5" s="8">
        <v>0</v>
      </c>
      <c r="E5" s="8">
        <v>1</v>
      </c>
      <c r="F5" s="8">
        <v>1</v>
      </c>
      <c r="G5" s="8">
        <v>1</v>
      </c>
      <c r="H5" s="8">
        <v>0</v>
      </c>
      <c r="I5" s="8">
        <v>1</v>
      </c>
      <c r="J5" s="8">
        <v>1.25</v>
      </c>
      <c r="K5" s="8">
        <v>1</v>
      </c>
      <c r="L5" s="8">
        <v>1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1</v>
      </c>
      <c r="S5" s="8">
        <v>1</v>
      </c>
      <c r="T5" s="8">
        <v>1</v>
      </c>
      <c r="U5" s="8">
        <v>1</v>
      </c>
      <c r="V5" s="8">
        <v>0</v>
      </c>
      <c r="W5" s="8">
        <v>0</v>
      </c>
      <c r="X5" s="8">
        <v>0</v>
      </c>
      <c r="Y5" s="8">
        <v>0.25</v>
      </c>
      <c r="Z5" s="8">
        <v>1</v>
      </c>
      <c r="AA5" s="8">
        <v>1</v>
      </c>
      <c r="AB5" s="8">
        <v>1</v>
      </c>
      <c r="AC5" s="8">
        <v>0</v>
      </c>
      <c r="AD5" s="8">
        <v>0</v>
      </c>
      <c r="AE5" s="8">
        <v>0</v>
      </c>
      <c r="AF5" s="8">
        <v>0</v>
      </c>
      <c r="AG5" s="18"/>
      <c r="AH5" s="7">
        <f>SUM(Table2425678910131412151617181920[[#This Row],[Column3]:[Column33]])</f>
        <v>14.5</v>
      </c>
    </row>
    <row r="6" spans="1:34" x14ac:dyDescent="0.25">
      <c r="A6" s="8">
        <v>4</v>
      </c>
      <c r="B6" s="7" t="s">
        <v>15</v>
      </c>
      <c r="C6" s="8">
        <v>1</v>
      </c>
      <c r="D6" s="8">
        <v>1</v>
      </c>
      <c r="E6" s="8">
        <v>0</v>
      </c>
      <c r="F6" s="8">
        <v>0</v>
      </c>
      <c r="G6" s="8">
        <v>0</v>
      </c>
      <c r="H6" s="8">
        <v>1</v>
      </c>
      <c r="I6" s="8">
        <v>0</v>
      </c>
      <c r="J6" s="8">
        <v>0</v>
      </c>
      <c r="K6" s="8">
        <v>0</v>
      </c>
      <c r="L6" s="8">
        <v>0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0.25</v>
      </c>
      <c r="S6" s="8">
        <v>0</v>
      </c>
      <c r="T6" s="8">
        <v>0</v>
      </c>
      <c r="U6" s="8">
        <v>0</v>
      </c>
      <c r="V6" s="8">
        <v>1</v>
      </c>
      <c r="W6" s="8">
        <v>1</v>
      </c>
      <c r="X6" s="8">
        <v>1</v>
      </c>
      <c r="Y6" s="8">
        <v>0.75</v>
      </c>
      <c r="Z6" s="8">
        <v>0</v>
      </c>
      <c r="AA6" s="8">
        <v>0</v>
      </c>
      <c r="AB6" s="8">
        <v>0</v>
      </c>
      <c r="AC6" s="8">
        <v>1</v>
      </c>
      <c r="AD6" s="8">
        <v>1</v>
      </c>
      <c r="AE6" s="8">
        <v>1</v>
      </c>
      <c r="AF6" s="8">
        <v>1.25</v>
      </c>
      <c r="AG6" s="18"/>
      <c r="AH6" s="7">
        <f>SUM(Table2425678910131412151617181920[[#This Row],[Column3]:[Column33]])</f>
        <v>16.25</v>
      </c>
    </row>
    <row r="8" spans="1:34" x14ac:dyDescent="0.25">
      <c r="B8" t="s">
        <v>40</v>
      </c>
    </row>
    <row r="9" spans="1:34" x14ac:dyDescent="0.25">
      <c r="B9" t="s">
        <v>41</v>
      </c>
    </row>
    <row r="10" spans="1:34" x14ac:dyDescent="0.25">
      <c r="AH10" s="24"/>
    </row>
    <row r="11" spans="1:34" x14ac:dyDescent="0.25">
      <c r="AH11" s="24"/>
    </row>
    <row r="12" spans="1:34" x14ac:dyDescent="0.25">
      <c r="Z12" s="5"/>
      <c r="AH12" s="24"/>
    </row>
    <row r="13" spans="1:34" x14ac:dyDescent="0.25">
      <c r="Z13" t="s">
        <v>39</v>
      </c>
      <c r="AH13" s="24">
        <f>SUM(Table2425678910131412151617181920[[#This Row],[Column3]:[Column32]])</f>
        <v>0</v>
      </c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Views>
    <sheetView workbookViewId="0">
      <selection activeCell="Y3" sqref="Y3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30" width="5.28515625" customWidth="1"/>
    <col min="31" max="31" width="5.140625" customWidth="1"/>
    <col min="32" max="32" width="5.42578125" customWidth="1"/>
    <col min="33" max="33" width="5.140625" customWidth="1"/>
    <col min="34" max="34" width="12" customWidth="1"/>
  </cols>
  <sheetData>
    <row r="1" spans="1:34" ht="56.25" customHeight="1" x14ac:dyDescent="0.25">
      <c r="A1" s="31" t="s">
        <v>0</v>
      </c>
      <c r="B1" s="31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1" t="s">
        <v>7</v>
      </c>
    </row>
    <row r="2" spans="1:34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8">
        <v>31</v>
      </c>
      <c r="AH2" s="7"/>
    </row>
    <row r="3" spans="1:34" x14ac:dyDescent="0.25">
      <c r="A3" s="8">
        <v>1</v>
      </c>
      <c r="B3" s="7" t="s">
        <v>8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0</v>
      </c>
      <c r="K3" s="8">
        <v>1</v>
      </c>
      <c r="L3" s="8">
        <v>0</v>
      </c>
      <c r="M3" s="8">
        <v>0</v>
      </c>
      <c r="N3" s="8">
        <v>0</v>
      </c>
      <c r="O3" s="8">
        <v>0.25</v>
      </c>
      <c r="P3" s="8">
        <v>0.5</v>
      </c>
      <c r="Q3" s="8">
        <v>1</v>
      </c>
      <c r="R3" s="8">
        <v>1</v>
      </c>
      <c r="S3" s="8">
        <v>1</v>
      </c>
      <c r="T3" s="8">
        <v>0</v>
      </c>
      <c r="U3" s="8">
        <v>0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0.5</v>
      </c>
      <c r="AC3" s="8">
        <v>1</v>
      </c>
      <c r="AD3" s="8">
        <v>1</v>
      </c>
      <c r="AE3" s="8">
        <v>1</v>
      </c>
      <c r="AF3" s="8">
        <v>0.75</v>
      </c>
      <c r="AG3" s="8">
        <v>1</v>
      </c>
      <c r="AH3" s="7">
        <f>SUM(Table2425678910131412151617181921[[#This Row],[Column3]:[Column33]])</f>
        <v>23</v>
      </c>
    </row>
    <row r="4" spans="1:34" x14ac:dyDescent="0.25">
      <c r="A4" s="8">
        <v>2</v>
      </c>
      <c r="B4" s="7" t="s">
        <v>3</v>
      </c>
      <c r="C4" s="8">
        <v>0.5</v>
      </c>
      <c r="D4" s="8">
        <v>0.5</v>
      </c>
      <c r="E4" s="8">
        <v>0.5</v>
      </c>
      <c r="F4" s="8">
        <v>0.5</v>
      </c>
      <c r="G4" s="8">
        <v>0.5</v>
      </c>
      <c r="H4" s="8">
        <v>0.5</v>
      </c>
      <c r="I4" s="8">
        <v>0</v>
      </c>
      <c r="J4" s="8">
        <v>0.5</v>
      </c>
      <c r="K4" s="8">
        <v>0.5</v>
      </c>
      <c r="L4" s="8">
        <v>0.5</v>
      </c>
      <c r="M4" s="8">
        <v>0.5</v>
      </c>
      <c r="N4" s="8">
        <v>0.5</v>
      </c>
      <c r="O4" s="8">
        <v>0.5</v>
      </c>
      <c r="P4" s="8">
        <v>0</v>
      </c>
      <c r="Q4" s="8">
        <v>0.5</v>
      </c>
      <c r="R4" s="8">
        <v>0.5</v>
      </c>
      <c r="S4" s="8">
        <v>0.5</v>
      </c>
      <c r="T4" s="8">
        <v>0.5</v>
      </c>
      <c r="U4" s="8">
        <v>0.5</v>
      </c>
      <c r="V4" s="8">
        <v>1</v>
      </c>
      <c r="W4" s="8">
        <v>1</v>
      </c>
      <c r="X4" s="8">
        <v>0.5</v>
      </c>
      <c r="Y4" s="8">
        <v>0.5</v>
      </c>
      <c r="Z4" s="8">
        <v>0.5</v>
      </c>
      <c r="AA4" s="8">
        <v>1</v>
      </c>
      <c r="AB4" s="8">
        <v>1</v>
      </c>
      <c r="AC4" s="8">
        <v>1</v>
      </c>
      <c r="AD4" s="8">
        <v>1</v>
      </c>
      <c r="AE4" s="8">
        <v>1</v>
      </c>
      <c r="AF4" s="8">
        <v>1</v>
      </c>
      <c r="AG4" s="8">
        <v>1</v>
      </c>
      <c r="AH4" s="7">
        <f>SUM(Table2425678910131412151617181921[[#This Row],[Column3]:[Column33]])</f>
        <v>19</v>
      </c>
    </row>
    <row r="5" spans="1:34" x14ac:dyDescent="0.25">
      <c r="A5" s="8">
        <v>3</v>
      </c>
      <c r="B5" s="7" t="s">
        <v>29</v>
      </c>
      <c r="C5" s="8">
        <v>1</v>
      </c>
      <c r="D5" s="8">
        <v>1</v>
      </c>
      <c r="E5" s="8">
        <v>1</v>
      </c>
      <c r="F5" s="8">
        <v>0</v>
      </c>
      <c r="G5" s="8">
        <v>0.25</v>
      </c>
      <c r="H5" s="8">
        <v>0</v>
      </c>
      <c r="I5" s="8">
        <v>0</v>
      </c>
      <c r="J5" s="8">
        <v>1.5</v>
      </c>
      <c r="K5" s="8">
        <v>1</v>
      </c>
      <c r="L5" s="8">
        <v>1</v>
      </c>
      <c r="M5" s="8">
        <v>0</v>
      </c>
      <c r="N5" s="8">
        <v>0</v>
      </c>
      <c r="O5" s="8">
        <v>0</v>
      </c>
      <c r="P5" s="8">
        <v>0</v>
      </c>
      <c r="Q5" s="8">
        <v>1</v>
      </c>
      <c r="R5" s="8">
        <v>1</v>
      </c>
      <c r="S5" s="8">
        <v>1</v>
      </c>
      <c r="T5" s="8">
        <v>0.5</v>
      </c>
      <c r="U5" s="8">
        <v>0</v>
      </c>
      <c r="V5" s="8">
        <v>0</v>
      </c>
      <c r="W5" s="8">
        <v>0</v>
      </c>
      <c r="X5" s="8">
        <v>1</v>
      </c>
      <c r="Y5" s="8">
        <v>1</v>
      </c>
      <c r="Z5" s="8">
        <v>1</v>
      </c>
      <c r="AA5" s="8">
        <v>0</v>
      </c>
      <c r="AB5" s="8">
        <v>0</v>
      </c>
      <c r="AC5" s="8">
        <v>1</v>
      </c>
      <c r="AD5" s="8">
        <v>0</v>
      </c>
      <c r="AE5" s="8">
        <v>1</v>
      </c>
      <c r="AF5" s="8">
        <v>1</v>
      </c>
      <c r="AG5" s="8">
        <v>0</v>
      </c>
      <c r="AH5" s="7">
        <f>SUM(Table2425678910131412151617181921[[#This Row],[Column3]:[Column33]])</f>
        <v>16.25</v>
      </c>
    </row>
    <row r="6" spans="1:34" x14ac:dyDescent="0.25">
      <c r="A6" s="8">
        <v>4</v>
      </c>
      <c r="B6" s="7" t="s">
        <v>15</v>
      </c>
      <c r="C6" s="8">
        <v>0</v>
      </c>
      <c r="D6" s="8">
        <v>0</v>
      </c>
      <c r="E6" s="8">
        <v>0</v>
      </c>
      <c r="F6" s="8">
        <v>1</v>
      </c>
      <c r="G6" s="8">
        <v>0.75</v>
      </c>
      <c r="H6" s="8">
        <v>1</v>
      </c>
      <c r="I6" s="8">
        <v>1</v>
      </c>
      <c r="J6" s="8">
        <v>0</v>
      </c>
      <c r="K6" s="8">
        <v>0</v>
      </c>
      <c r="L6" s="8">
        <v>0</v>
      </c>
      <c r="M6" s="8">
        <v>1.5</v>
      </c>
      <c r="N6" s="8">
        <v>1</v>
      </c>
      <c r="O6" s="8">
        <v>1</v>
      </c>
      <c r="P6" s="8">
        <v>1.25</v>
      </c>
      <c r="Q6" s="8">
        <v>0</v>
      </c>
      <c r="R6" s="8">
        <v>0</v>
      </c>
      <c r="S6" s="8">
        <v>0</v>
      </c>
      <c r="T6" s="8">
        <v>1.5</v>
      </c>
      <c r="U6" s="8">
        <v>1</v>
      </c>
      <c r="V6" s="8">
        <v>1</v>
      </c>
      <c r="W6" s="8">
        <v>1</v>
      </c>
      <c r="X6" s="8">
        <v>0</v>
      </c>
      <c r="Y6" s="8">
        <v>0</v>
      </c>
      <c r="Z6" s="8">
        <v>0</v>
      </c>
      <c r="AA6" s="8">
        <v>1</v>
      </c>
      <c r="AB6" s="8">
        <v>1.5</v>
      </c>
      <c r="AC6" s="8">
        <v>0</v>
      </c>
      <c r="AD6" s="8">
        <v>1</v>
      </c>
      <c r="AE6" s="8">
        <v>0</v>
      </c>
      <c r="AF6" s="8">
        <v>0.25</v>
      </c>
      <c r="AG6" s="8">
        <v>1</v>
      </c>
      <c r="AH6" s="7">
        <f>SUM(Table2425678910131412151617181921[[#This Row],[Column3]:[Column33]])</f>
        <v>17.75</v>
      </c>
    </row>
    <row r="7" spans="1:34" x14ac:dyDescent="0.25">
      <c r="A7" s="8">
        <v>5</v>
      </c>
      <c r="B7" s="7" t="s">
        <v>42</v>
      </c>
      <c r="C7" s="7"/>
      <c r="D7" s="7"/>
      <c r="E7" s="7"/>
      <c r="F7" s="7"/>
      <c r="G7" s="7"/>
      <c r="H7" s="7"/>
      <c r="I7" s="8">
        <v>1</v>
      </c>
      <c r="J7" s="8">
        <v>0</v>
      </c>
      <c r="K7" s="8">
        <v>0</v>
      </c>
      <c r="L7" s="8">
        <v>1</v>
      </c>
      <c r="M7" s="8">
        <v>0</v>
      </c>
      <c r="N7" s="8">
        <v>1</v>
      </c>
      <c r="O7" s="8">
        <v>1</v>
      </c>
      <c r="P7" s="8">
        <v>0.75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7">
        <f>SUM(Table2425678910131412151617181921[[#This Row],[Column3]:[Column33]])</f>
        <v>4.75</v>
      </c>
    </row>
    <row r="9" spans="1:34" x14ac:dyDescent="0.25">
      <c r="B9" t="s">
        <v>43</v>
      </c>
    </row>
    <row r="10" spans="1:34" x14ac:dyDescent="0.25">
      <c r="B10" t="s">
        <v>46</v>
      </c>
      <c r="AH10" s="24"/>
    </row>
    <row r="11" spans="1:34" x14ac:dyDescent="0.25">
      <c r="B11" t="s">
        <v>44</v>
      </c>
      <c r="AH11" s="24"/>
    </row>
    <row r="12" spans="1:34" x14ac:dyDescent="0.25">
      <c r="B12" t="s">
        <v>45</v>
      </c>
      <c r="Z12" s="5"/>
      <c r="AH12" s="24"/>
    </row>
    <row r="13" spans="1:34" x14ac:dyDescent="0.25">
      <c r="Z13" t="s">
        <v>39</v>
      </c>
      <c r="AH13" s="24">
        <f>SUM(Table2425678910131412151617181921[[#This Row],[Column3]:[Column32]])</f>
        <v>0</v>
      </c>
    </row>
    <row r="26" spans="19:28" x14ac:dyDescent="0.25">
      <c r="AB26" s="32"/>
    </row>
    <row r="27" spans="19:28" x14ac:dyDescent="0.25">
      <c r="S27" s="34"/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tabSelected="1" workbookViewId="0">
      <selection activeCell="B11" sqref="B11"/>
    </sheetView>
  </sheetViews>
  <sheetFormatPr defaultRowHeight="15" x14ac:dyDescent="0.25"/>
  <cols>
    <col min="1" max="1" width="11" customWidth="1"/>
    <col min="2" max="2" width="19.7109375" customWidth="1"/>
    <col min="3" max="3" width="5" customWidth="1"/>
    <col min="4" max="7" width="4.85546875" customWidth="1"/>
    <col min="8" max="8" width="5" customWidth="1"/>
    <col min="9" max="9" width="4.7109375" customWidth="1"/>
    <col min="10" max="10" width="5" customWidth="1"/>
    <col min="11" max="11" width="4.85546875" customWidth="1"/>
    <col min="12" max="13" width="5.28515625" customWidth="1"/>
    <col min="14" max="15" width="5.42578125" customWidth="1"/>
    <col min="16" max="17" width="5.28515625" customWidth="1"/>
    <col min="18" max="18" width="5.42578125" customWidth="1"/>
    <col min="19" max="19" width="5.28515625" customWidth="1"/>
    <col min="20" max="20" width="5.42578125" customWidth="1"/>
    <col min="21" max="22" width="5.140625" customWidth="1"/>
    <col min="23" max="24" width="5.28515625" customWidth="1"/>
    <col min="25" max="26" width="5.140625" customWidth="1"/>
    <col min="27" max="30" width="5.28515625" customWidth="1"/>
    <col min="31" max="31" width="5.140625" customWidth="1"/>
    <col min="32" max="32" width="5.42578125" customWidth="1"/>
    <col min="33" max="33" width="5.140625" customWidth="1"/>
    <col min="34" max="34" width="12" customWidth="1"/>
  </cols>
  <sheetData>
    <row r="1" spans="1:34" ht="56.25" customHeight="1" x14ac:dyDescent="0.25">
      <c r="A1" s="33" t="s">
        <v>0</v>
      </c>
      <c r="B1" s="33" t="s">
        <v>1</v>
      </c>
      <c r="C1" s="35" t="s">
        <v>2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3" t="s">
        <v>7</v>
      </c>
    </row>
    <row r="2" spans="1:34" x14ac:dyDescent="0.25">
      <c r="A2" s="7"/>
      <c r="B2" s="7"/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8">
        <v>12</v>
      </c>
      <c r="O2" s="8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8">
        <v>19</v>
      </c>
      <c r="V2" s="8">
        <v>20</v>
      </c>
      <c r="W2" s="8">
        <v>21</v>
      </c>
      <c r="X2" s="8">
        <v>22</v>
      </c>
      <c r="Y2" s="8">
        <v>23</v>
      </c>
      <c r="Z2" s="8">
        <v>24</v>
      </c>
      <c r="AA2" s="8">
        <v>25</v>
      </c>
      <c r="AB2" s="8">
        <v>26</v>
      </c>
      <c r="AC2" s="8">
        <v>27</v>
      </c>
      <c r="AD2" s="8">
        <v>28</v>
      </c>
      <c r="AE2" s="8">
        <v>29</v>
      </c>
      <c r="AF2" s="8">
        <v>30</v>
      </c>
      <c r="AG2" s="8">
        <v>31</v>
      </c>
      <c r="AH2" s="7"/>
    </row>
    <row r="3" spans="1:34" x14ac:dyDescent="0.25">
      <c r="A3" s="8">
        <v>1</v>
      </c>
      <c r="B3" s="7" t="s">
        <v>8</v>
      </c>
      <c r="C3" s="8">
        <v>2</v>
      </c>
      <c r="D3" s="8">
        <v>1</v>
      </c>
      <c r="E3" s="8">
        <v>0.75</v>
      </c>
      <c r="F3" s="8">
        <v>1</v>
      </c>
      <c r="G3" s="8">
        <v>0.5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7">
        <f>SUM(Table242567891013141215161718192122[[#This Row],[Column3]:[Column33]])</f>
        <v>15.25</v>
      </c>
    </row>
    <row r="4" spans="1:34" x14ac:dyDescent="0.25">
      <c r="A4" s="8">
        <v>2</v>
      </c>
      <c r="B4" s="7" t="s">
        <v>3</v>
      </c>
      <c r="C4" s="8">
        <v>2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7">
        <f>SUM(Table242567891013141215161718192122[[#This Row],[Column3]:[Column33]])</f>
        <v>21</v>
      </c>
    </row>
    <row r="5" spans="1:34" x14ac:dyDescent="0.25">
      <c r="A5" s="8">
        <v>3</v>
      </c>
      <c r="B5" s="7" t="s">
        <v>29</v>
      </c>
      <c r="C5" s="8">
        <v>0</v>
      </c>
      <c r="D5" s="8">
        <v>0</v>
      </c>
      <c r="E5" s="8">
        <v>0</v>
      </c>
      <c r="F5" s="8">
        <v>0</v>
      </c>
      <c r="G5" s="8">
        <v>1</v>
      </c>
      <c r="H5" s="8">
        <v>1</v>
      </c>
      <c r="I5" s="8">
        <v>1</v>
      </c>
      <c r="J5" s="8">
        <v>0</v>
      </c>
      <c r="K5" s="8">
        <v>0</v>
      </c>
      <c r="L5" s="8">
        <v>0</v>
      </c>
      <c r="M5" s="8">
        <v>1</v>
      </c>
      <c r="N5" s="8">
        <v>0.75</v>
      </c>
      <c r="O5" s="8">
        <v>0</v>
      </c>
      <c r="P5" s="8">
        <v>0</v>
      </c>
      <c r="Q5" s="8">
        <v>1</v>
      </c>
      <c r="R5" s="8">
        <v>0</v>
      </c>
      <c r="S5" s="8">
        <v>1</v>
      </c>
      <c r="T5" s="8">
        <v>1.25</v>
      </c>
      <c r="U5" s="8">
        <v>1</v>
      </c>
      <c r="V5" s="8">
        <v>1</v>
      </c>
      <c r="W5" s="8">
        <v>1</v>
      </c>
      <c r="X5" s="8">
        <v>1</v>
      </c>
      <c r="Y5" s="8">
        <v>1</v>
      </c>
      <c r="Z5" s="8">
        <v>0</v>
      </c>
      <c r="AA5" s="8">
        <v>0</v>
      </c>
      <c r="AB5" s="8">
        <v>0</v>
      </c>
      <c r="AC5" s="8">
        <v>1</v>
      </c>
      <c r="AD5" s="8">
        <v>0</v>
      </c>
      <c r="AE5" s="8">
        <v>1</v>
      </c>
      <c r="AF5" s="8">
        <v>0</v>
      </c>
      <c r="AG5" s="8">
        <v>0</v>
      </c>
      <c r="AH5" s="7">
        <f>SUM(Table242567891013141215161718192122[[#This Row],[Column3]:[Column33]])</f>
        <v>15</v>
      </c>
    </row>
    <row r="6" spans="1:34" x14ac:dyDescent="0.25">
      <c r="A6" s="8">
        <v>4</v>
      </c>
      <c r="B6" s="7" t="s">
        <v>15</v>
      </c>
      <c r="C6" s="8">
        <v>2</v>
      </c>
      <c r="D6" s="8">
        <v>1</v>
      </c>
      <c r="E6" s="8">
        <v>1.25</v>
      </c>
      <c r="F6" s="8">
        <v>1</v>
      </c>
      <c r="G6" s="8">
        <v>0</v>
      </c>
      <c r="H6" s="8">
        <v>0</v>
      </c>
      <c r="I6" s="8">
        <v>0</v>
      </c>
      <c r="J6" s="8">
        <v>1</v>
      </c>
      <c r="K6" s="8">
        <v>1</v>
      </c>
      <c r="L6" s="8">
        <v>1</v>
      </c>
      <c r="M6" s="8">
        <v>1</v>
      </c>
      <c r="N6" s="8">
        <v>0.75</v>
      </c>
      <c r="O6" s="8">
        <v>1.5</v>
      </c>
      <c r="P6" s="8">
        <v>1.5</v>
      </c>
      <c r="Q6" s="8">
        <v>0.5</v>
      </c>
      <c r="R6" s="8">
        <v>1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1</v>
      </c>
      <c r="AA6" s="8">
        <v>1</v>
      </c>
      <c r="AB6" s="8">
        <v>1</v>
      </c>
      <c r="AC6" s="8">
        <v>0</v>
      </c>
      <c r="AD6" s="8">
        <v>1</v>
      </c>
      <c r="AE6" s="8">
        <v>0</v>
      </c>
      <c r="AF6" s="8">
        <v>1</v>
      </c>
      <c r="AG6" s="8">
        <v>1</v>
      </c>
      <c r="AH6" s="7">
        <f>SUM(Table242567891013141215161718192122[[#This Row],[Column3]:[Column33]])</f>
        <v>20.5</v>
      </c>
    </row>
    <row r="8" spans="1:34" x14ac:dyDescent="0.25">
      <c r="B8" t="s">
        <v>47</v>
      </c>
    </row>
    <row r="9" spans="1:34" x14ac:dyDescent="0.25">
      <c r="B9" t="s">
        <v>48</v>
      </c>
      <c r="AH9" s="24"/>
    </row>
    <row r="10" spans="1:34" x14ac:dyDescent="0.25">
      <c r="B10" t="s">
        <v>49</v>
      </c>
      <c r="AH10" s="24"/>
    </row>
    <row r="11" spans="1:34" x14ac:dyDescent="0.25">
      <c r="Z11" s="5"/>
      <c r="AH11" s="24"/>
    </row>
    <row r="12" spans="1:34" x14ac:dyDescent="0.25">
      <c r="Z12" t="s">
        <v>39</v>
      </c>
      <c r="AH12" s="24">
        <f>SUM(Table242567891013141215161718192122[[#This Row],[Column3]:[Column32]])</f>
        <v>0</v>
      </c>
    </row>
    <row r="25" spans="19:28" x14ac:dyDescent="0.25">
      <c r="AB25" s="32"/>
    </row>
    <row r="26" spans="19:28" x14ac:dyDescent="0.25">
      <c r="S26" s="34"/>
    </row>
  </sheetData>
  <mergeCells count="1">
    <mergeCell ref="C1:A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tháng 5</vt:lpstr>
      <vt:lpstr>tháng 6</vt:lpstr>
      <vt:lpstr>Tháng 7</vt:lpstr>
      <vt:lpstr>Tháng 8</vt:lpstr>
      <vt:lpstr>Tháng 9</vt:lpstr>
      <vt:lpstr>Tháng 10 </vt:lpstr>
      <vt:lpstr>Tháng 11</vt:lpstr>
      <vt:lpstr>Tháng 12</vt:lpstr>
      <vt:lpstr>1-2025</vt:lpstr>
      <vt:lpstr>2-2025</vt:lpstr>
      <vt:lpstr>3-2025</vt:lpstr>
      <vt:lpstr>4-2025</vt:lpstr>
      <vt:lpstr>5-2025</vt:lpstr>
      <vt:lpstr>6-2025</vt:lpstr>
      <vt:lpstr>7-2025</vt:lpstr>
      <vt:lpstr>8-2025</vt:lpstr>
      <vt:lpstr>9-2025</vt:lpstr>
      <vt:lpstr>10-2025</vt:lpstr>
      <vt:lpstr>11-2025</vt:lpstr>
      <vt:lpstr>12-2025</vt:lpstr>
      <vt:lpstr>1-2026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2024-05-25T10:06:05Z</dcterms:created>
  <dcterms:modified xsi:type="dcterms:W3CDTF">2026-01-21T16:50:59Z</dcterms:modified>
</cp:coreProperties>
</file>
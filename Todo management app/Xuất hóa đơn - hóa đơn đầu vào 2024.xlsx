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13395" windowHeight="7755" firstSheet="16" activeTab="24"/>
  </bookViews>
  <sheets>
    <sheet name="tháng 1" sheetId="3" r:id="rId1"/>
    <sheet name="tháng 2" sheetId="1" r:id="rId2"/>
    <sheet name="tháng 3" sheetId="2" r:id="rId3"/>
    <sheet name="tháng 4" sheetId="4" r:id="rId4"/>
    <sheet name="tháng 5" sheetId="5" r:id="rId5"/>
    <sheet name="tháng 6" sheetId="8" r:id="rId6"/>
    <sheet name="tháng 7" sheetId="9" r:id="rId7"/>
    <sheet name="tháng 8" sheetId="10" r:id="rId8"/>
    <sheet name="tháng 9" sheetId="11" r:id="rId9"/>
    <sheet name="tháng 10" sheetId="12" r:id="rId10"/>
    <sheet name="tháng 11" sheetId="13" r:id="rId11"/>
    <sheet name="tháng 12" sheetId="14" r:id="rId12"/>
    <sheet name="tháng 1-2025" sheetId="15" r:id="rId13"/>
    <sheet name="tháng 2-2025" sheetId="16" r:id="rId14"/>
    <sheet name="tháng 3-2025" sheetId="17" r:id="rId15"/>
    <sheet name="tháng 4-2025" sheetId="18" r:id="rId16"/>
    <sheet name="tháng 5-2025" sheetId="19" r:id="rId17"/>
    <sheet name="tháng 6-2025" sheetId="20" r:id="rId18"/>
    <sheet name="tháng 7-2025" sheetId="22" r:id="rId19"/>
    <sheet name="tháng 8-2025" sheetId="21" r:id="rId20"/>
    <sheet name="tháng 9-2025" sheetId="23" r:id="rId21"/>
    <sheet name="tháng 10-2025" sheetId="24" r:id="rId22"/>
    <sheet name="tháng 11-2025 " sheetId="25" r:id="rId23"/>
    <sheet name="tháng 12-2025" sheetId="26" r:id="rId24"/>
    <sheet name="tháng 1-2026" sheetId="27" r:id="rId25"/>
  </sheets>
  <calcPr calcId="144525"/>
</workbook>
</file>

<file path=xl/calcChain.xml><?xml version="1.0" encoding="utf-8"?>
<calcChain xmlns="http://schemas.openxmlformats.org/spreadsheetml/2006/main">
  <c r="G34" i="27" l="1"/>
  <c r="G33" i="27"/>
  <c r="G32" i="27"/>
  <c r="G31" i="27"/>
  <c r="G30" i="27"/>
  <c r="G29" i="27"/>
  <c r="G28" i="27"/>
  <c r="M6" i="27"/>
  <c r="G13" i="26"/>
  <c r="M13" i="26"/>
  <c r="M12" i="26" l="1"/>
  <c r="M7" i="27"/>
  <c r="M8" i="27"/>
  <c r="M9" i="27"/>
  <c r="M10" i="27"/>
  <c r="M11" i="27"/>
  <c r="L36" i="27"/>
  <c r="K36" i="27"/>
  <c r="F36" i="27"/>
  <c r="E36" i="27"/>
  <c r="G35" i="27"/>
  <c r="G27" i="27"/>
  <c r="G26" i="27"/>
  <c r="G25" i="27"/>
  <c r="G24" i="27"/>
  <c r="G23" i="27"/>
  <c r="G22" i="27"/>
  <c r="G21" i="27"/>
  <c r="G20" i="27"/>
  <c r="G19" i="27"/>
  <c r="G18" i="27"/>
  <c r="G17" i="27"/>
  <c r="G16" i="27"/>
  <c r="G15" i="27"/>
  <c r="G14" i="27"/>
  <c r="G13" i="27"/>
  <c r="G12" i="27"/>
  <c r="G11" i="27"/>
  <c r="G10" i="27"/>
  <c r="G9" i="27"/>
  <c r="G8" i="27"/>
  <c r="G7" i="27"/>
  <c r="G6" i="27"/>
  <c r="M5" i="27"/>
  <c r="G5" i="27"/>
  <c r="M4" i="27"/>
  <c r="G4" i="27"/>
  <c r="M9" i="25"/>
  <c r="M36" i="27" l="1"/>
  <c r="G36" i="27"/>
  <c r="L30" i="26"/>
  <c r="K30" i="26"/>
  <c r="F30" i="26"/>
  <c r="E30" i="26"/>
  <c r="G29" i="26"/>
  <c r="G28" i="26"/>
  <c r="G27" i="26"/>
  <c r="G26" i="26"/>
  <c r="G25" i="26"/>
  <c r="G24" i="26"/>
  <c r="G23" i="26"/>
  <c r="G22" i="26"/>
  <c r="G21" i="26"/>
  <c r="G20" i="26"/>
  <c r="G19" i="26"/>
  <c r="G18" i="26"/>
  <c r="G17" i="26"/>
  <c r="G16" i="26"/>
  <c r="G15" i="26"/>
  <c r="G14" i="26"/>
  <c r="G12" i="26"/>
  <c r="M11" i="26"/>
  <c r="G11" i="26"/>
  <c r="M10" i="26"/>
  <c r="G10" i="26"/>
  <c r="M9" i="26"/>
  <c r="G9" i="26"/>
  <c r="M8" i="26"/>
  <c r="G8" i="26"/>
  <c r="M7" i="26"/>
  <c r="G7" i="26"/>
  <c r="M6" i="26"/>
  <c r="G6" i="26"/>
  <c r="M5" i="26"/>
  <c r="G5" i="26"/>
  <c r="M4" i="26"/>
  <c r="G4" i="26"/>
  <c r="G7" i="25"/>
  <c r="L29" i="25"/>
  <c r="K29" i="25"/>
  <c r="F29" i="25"/>
  <c r="E29" i="25"/>
  <c r="G28" i="25"/>
  <c r="G27" i="25"/>
  <c r="G26" i="25"/>
  <c r="G25" i="25"/>
  <c r="G24" i="25"/>
  <c r="G23" i="25"/>
  <c r="G22" i="25"/>
  <c r="G21" i="25"/>
  <c r="G20" i="25"/>
  <c r="G19" i="25"/>
  <c r="G18" i="25"/>
  <c r="G17" i="25"/>
  <c r="G16" i="25"/>
  <c r="G15" i="25"/>
  <c r="G14" i="25"/>
  <c r="G13" i="25"/>
  <c r="G12" i="25"/>
  <c r="M11" i="25"/>
  <c r="G11" i="25"/>
  <c r="M10" i="25"/>
  <c r="G10" i="25"/>
  <c r="G9" i="25"/>
  <c r="M8" i="25"/>
  <c r="G8" i="25"/>
  <c r="M7" i="25"/>
  <c r="M6" i="25"/>
  <c r="G6" i="25"/>
  <c r="M5" i="25"/>
  <c r="G5" i="25"/>
  <c r="M4" i="25"/>
  <c r="G4" i="25"/>
  <c r="M30" i="26" l="1"/>
  <c r="G30" i="26"/>
  <c r="M29" i="25"/>
  <c r="G29" i="25"/>
  <c r="G19" i="22" l="1"/>
  <c r="G18" i="22"/>
  <c r="G50" i="22" s="1"/>
  <c r="L29" i="24"/>
  <c r="K29" i="24"/>
  <c r="F29" i="24"/>
  <c r="E29" i="24"/>
  <c r="G28" i="24"/>
  <c r="G27" i="24"/>
  <c r="G26" i="24"/>
  <c r="G25" i="24"/>
  <c r="G24" i="24"/>
  <c r="G23" i="24"/>
  <c r="G22" i="24"/>
  <c r="G21" i="24"/>
  <c r="G20" i="24"/>
  <c r="G19" i="24"/>
  <c r="G18" i="24"/>
  <c r="G17" i="24"/>
  <c r="G16" i="24"/>
  <c r="G15" i="24"/>
  <c r="G14" i="24"/>
  <c r="G13" i="24"/>
  <c r="G12" i="24"/>
  <c r="M11" i="24"/>
  <c r="G11" i="24"/>
  <c r="M10" i="24"/>
  <c r="G10" i="24"/>
  <c r="M9" i="24"/>
  <c r="G9" i="24"/>
  <c r="M8" i="24"/>
  <c r="G8" i="24"/>
  <c r="M7" i="24"/>
  <c r="G7" i="24"/>
  <c r="M6" i="24"/>
  <c r="G6" i="24"/>
  <c r="M5" i="24"/>
  <c r="G5" i="24"/>
  <c r="M4" i="24"/>
  <c r="G4" i="24"/>
  <c r="M29" i="24" l="1"/>
  <c r="G29" i="24"/>
  <c r="M12" i="21"/>
  <c r="M15" i="22"/>
  <c r="M14" i="22"/>
  <c r="M13" i="22"/>
  <c r="L29" i="23" l="1"/>
  <c r="K29" i="23"/>
  <c r="F29" i="23"/>
  <c r="E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M11" i="23"/>
  <c r="G11" i="23"/>
  <c r="M10" i="23"/>
  <c r="G10" i="23"/>
  <c r="M9" i="23"/>
  <c r="G9" i="23"/>
  <c r="M8" i="23"/>
  <c r="G8" i="23"/>
  <c r="M7" i="23"/>
  <c r="G7" i="23"/>
  <c r="M6" i="23"/>
  <c r="G6" i="23"/>
  <c r="M5" i="23"/>
  <c r="G5" i="23"/>
  <c r="M4" i="23"/>
  <c r="G4" i="23"/>
  <c r="M12" i="22"/>
  <c r="M29" i="23" l="1"/>
  <c r="G29" i="23"/>
  <c r="L50" i="22"/>
  <c r="K50" i="22"/>
  <c r="F50" i="22"/>
  <c r="E50" i="22"/>
  <c r="G49" i="22"/>
  <c r="G48" i="22"/>
  <c r="G47" i="22"/>
  <c r="G46" i="22"/>
  <c r="G45" i="22"/>
  <c r="G44" i="22"/>
  <c r="G43" i="22"/>
  <c r="G42" i="22"/>
  <c r="G41" i="22"/>
  <c r="G40" i="22"/>
  <c r="G39" i="22"/>
  <c r="G38" i="22"/>
  <c r="G37" i="22"/>
  <c r="G36" i="22"/>
  <c r="G35" i="22"/>
  <c r="G34" i="22"/>
  <c r="G33" i="22"/>
  <c r="G32" i="22"/>
  <c r="G31" i="22"/>
  <c r="G30" i="22"/>
  <c r="G29" i="22"/>
  <c r="G28" i="22"/>
  <c r="G27" i="22"/>
  <c r="G26" i="22"/>
  <c r="G25" i="22"/>
  <c r="G24" i="22"/>
  <c r="G23" i="22"/>
  <c r="G22" i="22"/>
  <c r="G21" i="22"/>
  <c r="G20" i="22"/>
  <c r="G17" i="22"/>
  <c r="G16" i="22"/>
  <c r="G15" i="22"/>
  <c r="G14" i="22"/>
  <c r="G13" i="22"/>
  <c r="G12" i="22"/>
  <c r="M11" i="22"/>
  <c r="G11" i="22"/>
  <c r="M10" i="22"/>
  <c r="G10" i="22"/>
  <c r="M9" i="22"/>
  <c r="G9" i="22"/>
  <c r="M8" i="22"/>
  <c r="G8" i="22"/>
  <c r="M7" i="22"/>
  <c r="G7" i="22"/>
  <c r="M6" i="22"/>
  <c r="G6" i="22"/>
  <c r="M5" i="22"/>
  <c r="G5" i="22"/>
  <c r="M4" i="22"/>
  <c r="G4" i="22"/>
  <c r="F29" i="21"/>
  <c r="E29" i="21"/>
  <c r="M50" i="22" l="1"/>
  <c r="M13" i="20"/>
  <c r="M12" i="19"/>
  <c r="M12" i="20"/>
  <c r="G48" i="20"/>
  <c r="G38" i="20"/>
  <c r="G39" i="20"/>
  <c r="G40" i="20"/>
  <c r="G41" i="20"/>
  <c r="G42" i="20"/>
  <c r="G43" i="20"/>
  <c r="G44" i="20"/>
  <c r="G45" i="20"/>
  <c r="G46" i="20"/>
  <c r="G47" i="20"/>
  <c r="L29" i="21"/>
  <c r="K29" i="21"/>
  <c r="G28" i="21"/>
  <c r="G27" i="21"/>
  <c r="G26" i="21"/>
  <c r="G25" i="21"/>
  <c r="G24" i="21"/>
  <c r="G23" i="21"/>
  <c r="G22" i="21"/>
  <c r="G21" i="21"/>
  <c r="G20" i="21"/>
  <c r="G19" i="21"/>
  <c r="G18" i="21"/>
  <c r="G17" i="21"/>
  <c r="G16" i="21"/>
  <c r="G15" i="21"/>
  <c r="G14" i="21"/>
  <c r="G13" i="21"/>
  <c r="G12" i="21"/>
  <c r="M11" i="21"/>
  <c r="G11" i="21"/>
  <c r="M10" i="21"/>
  <c r="G10" i="21"/>
  <c r="M9" i="21"/>
  <c r="G9" i="21"/>
  <c r="M8" i="21"/>
  <c r="G8" i="21"/>
  <c r="M7" i="21"/>
  <c r="G7" i="21"/>
  <c r="M6" i="21"/>
  <c r="G6" i="21"/>
  <c r="M5" i="21"/>
  <c r="G5" i="21"/>
  <c r="M4" i="21"/>
  <c r="G4" i="21"/>
  <c r="G37" i="20"/>
  <c r="G30" i="20"/>
  <c r="G31" i="20"/>
  <c r="G32" i="20"/>
  <c r="G33" i="20"/>
  <c r="G34" i="20"/>
  <c r="M29" i="21" l="1"/>
  <c r="G29" i="21"/>
  <c r="L49" i="20"/>
  <c r="K49" i="20"/>
  <c r="F49" i="20"/>
  <c r="E49" i="20"/>
  <c r="G36" i="20"/>
  <c r="G35" i="20"/>
  <c r="G29" i="20"/>
  <c r="G28" i="20"/>
  <c r="G27" i="20"/>
  <c r="G26" i="20"/>
  <c r="G25" i="20"/>
  <c r="G24" i="20"/>
  <c r="G23" i="20"/>
  <c r="G22" i="20"/>
  <c r="G21" i="20"/>
  <c r="G20" i="20"/>
  <c r="G19" i="20"/>
  <c r="G18" i="20"/>
  <c r="G17" i="20"/>
  <c r="G16" i="20"/>
  <c r="G15" i="20"/>
  <c r="G14" i="20"/>
  <c r="G13" i="20"/>
  <c r="G12" i="20"/>
  <c r="M11" i="20"/>
  <c r="G11" i="20"/>
  <c r="M10" i="20"/>
  <c r="G10" i="20"/>
  <c r="M9" i="20"/>
  <c r="G9" i="20"/>
  <c r="M8" i="20"/>
  <c r="G8" i="20"/>
  <c r="M7" i="20"/>
  <c r="G7" i="20"/>
  <c r="M6" i="20"/>
  <c r="G6" i="20"/>
  <c r="M5" i="20"/>
  <c r="G5" i="20"/>
  <c r="M4" i="20"/>
  <c r="G4" i="20"/>
  <c r="M13" i="18"/>
  <c r="M12" i="18"/>
  <c r="L37" i="19"/>
  <c r="K37" i="19"/>
  <c r="F37" i="19"/>
  <c r="E37" i="19"/>
  <c r="G35" i="19"/>
  <c r="G34" i="19"/>
  <c r="G33" i="19"/>
  <c r="G32" i="19"/>
  <c r="G31" i="19"/>
  <c r="G30" i="19"/>
  <c r="G29" i="19"/>
  <c r="G28" i="19"/>
  <c r="G27" i="19"/>
  <c r="G26" i="19"/>
  <c r="G25" i="19"/>
  <c r="G24" i="19"/>
  <c r="G23" i="19"/>
  <c r="G22" i="19"/>
  <c r="G21" i="19"/>
  <c r="G20" i="19"/>
  <c r="G19" i="19"/>
  <c r="G18" i="19"/>
  <c r="G17" i="19"/>
  <c r="G16" i="19"/>
  <c r="G15" i="19"/>
  <c r="G14" i="19"/>
  <c r="G13" i="19"/>
  <c r="G12" i="19"/>
  <c r="M11" i="19"/>
  <c r="G11" i="19"/>
  <c r="M10" i="19"/>
  <c r="G10" i="19"/>
  <c r="M9" i="19"/>
  <c r="G9" i="19"/>
  <c r="M8" i="19"/>
  <c r="G8" i="19"/>
  <c r="M7" i="19"/>
  <c r="G7" i="19"/>
  <c r="M6" i="19"/>
  <c r="G6" i="19"/>
  <c r="M5" i="19"/>
  <c r="G5" i="19"/>
  <c r="M4" i="19"/>
  <c r="G4" i="19"/>
  <c r="M11" i="18"/>
  <c r="M49" i="20" l="1"/>
  <c r="G49" i="20"/>
  <c r="M37" i="19"/>
  <c r="G37" i="19"/>
  <c r="M11" i="17" l="1"/>
  <c r="G36" i="17" l="1"/>
  <c r="F37" i="17"/>
  <c r="G37" i="17"/>
  <c r="E37" i="17"/>
  <c r="G4" i="18"/>
  <c r="M4" i="18"/>
  <c r="G5" i="18"/>
  <c r="M5" i="18"/>
  <c r="G6" i="18"/>
  <c r="M6" i="18"/>
  <c r="G7" i="18"/>
  <c r="M7" i="18"/>
  <c r="G8" i="18"/>
  <c r="M8" i="18"/>
  <c r="G9" i="18"/>
  <c r="M9" i="18"/>
  <c r="G10" i="18"/>
  <c r="M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26" i="18"/>
  <c r="G27" i="18"/>
  <c r="G28" i="18"/>
  <c r="G29" i="18"/>
  <c r="G30" i="18"/>
  <c r="G31" i="18"/>
  <c r="G32" i="18"/>
  <c r="G33" i="18"/>
  <c r="G34" i="18"/>
  <c r="G35" i="18"/>
  <c r="L37" i="18"/>
  <c r="K37" i="18"/>
  <c r="F37" i="18"/>
  <c r="E37" i="18"/>
  <c r="G35" i="17"/>
  <c r="G34" i="17"/>
  <c r="G33" i="17"/>
  <c r="G32" i="17"/>
  <c r="M10" i="17"/>
  <c r="G31" i="17"/>
  <c r="G30" i="17"/>
  <c r="G29" i="17"/>
  <c r="G28" i="17"/>
  <c r="G27" i="17"/>
  <c r="G26" i="17"/>
  <c r="G25" i="17"/>
  <c r="G24" i="17"/>
  <c r="G23" i="17"/>
  <c r="G22" i="17"/>
  <c r="G16" i="16"/>
  <c r="M10" i="3"/>
  <c r="M10" i="1"/>
  <c r="M37" i="18" l="1"/>
  <c r="G37" i="18"/>
  <c r="L37" i="17"/>
  <c r="K37" i="17"/>
  <c r="G21" i="17"/>
  <c r="G20" i="17"/>
  <c r="G19" i="17"/>
  <c r="G18" i="17"/>
  <c r="G17" i="17"/>
  <c r="G16" i="17"/>
  <c r="G15" i="17"/>
  <c r="G14" i="17"/>
  <c r="G13" i="17"/>
  <c r="G12" i="17"/>
  <c r="G11" i="17"/>
  <c r="G10" i="17"/>
  <c r="M9" i="17"/>
  <c r="G9" i="17"/>
  <c r="M8" i="17"/>
  <c r="G8" i="17"/>
  <c r="M7" i="17"/>
  <c r="G7" i="17"/>
  <c r="M6" i="17"/>
  <c r="G6" i="17"/>
  <c r="M5" i="17"/>
  <c r="G5" i="17"/>
  <c r="M4" i="17"/>
  <c r="G4" i="17"/>
  <c r="M37" i="17" l="1"/>
  <c r="L27" i="16"/>
  <c r="K27" i="16"/>
  <c r="F27" i="16"/>
  <c r="E27" i="16"/>
  <c r="G21" i="16"/>
  <c r="M20" i="16"/>
  <c r="G20" i="16"/>
  <c r="M19" i="16"/>
  <c r="G19" i="16"/>
  <c r="M18" i="16"/>
  <c r="G18" i="16"/>
  <c r="M17" i="16"/>
  <c r="G17" i="16"/>
  <c r="M16" i="16"/>
  <c r="M15" i="16"/>
  <c r="G15" i="16"/>
  <c r="M14" i="16"/>
  <c r="G14" i="16"/>
  <c r="M13" i="16"/>
  <c r="G13" i="16"/>
  <c r="M12" i="16"/>
  <c r="G12" i="16"/>
  <c r="M11" i="16"/>
  <c r="G11" i="16"/>
  <c r="M10" i="16"/>
  <c r="G10" i="16"/>
  <c r="M9" i="16"/>
  <c r="G9" i="16"/>
  <c r="M8" i="16"/>
  <c r="G8" i="16"/>
  <c r="M7" i="16"/>
  <c r="G7" i="16"/>
  <c r="M6" i="16"/>
  <c r="G6" i="16"/>
  <c r="M5" i="16"/>
  <c r="G5" i="16"/>
  <c r="M4" i="16"/>
  <c r="G4" i="16"/>
  <c r="M27" i="16" l="1"/>
  <c r="G27" i="16"/>
  <c r="L27" i="15" l="1"/>
  <c r="K27" i="15"/>
  <c r="F27" i="15"/>
  <c r="E27" i="15"/>
  <c r="G21" i="15"/>
  <c r="M20" i="15"/>
  <c r="G20" i="15"/>
  <c r="M19" i="15"/>
  <c r="G19" i="15"/>
  <c r="M18" i="15"/>
  <c r="G18" i="15"/>
  <c r="M17" i="15"/>
  <c r="G17" i="15"/>
  <c r="M16" i="15"/>
  <c r="G16" i="15"/>
  <c r="M15" i="15"/>
  <c r="G15" i="15"/>
  <c r="M14" i="15"/>
  <c r="G14" i="15"/>
  <c r="M13" i="15"/>
  <c r="G13" i="15"/>
  <c r="M12" i="15"/>
  <c r="G12" i="15"/>
  <c r="M11" i="15"/>
  <c r="G11" i="15"/>
  <c r="M10" i="15"/>
  <c r="G10" i="15"/>
  <c r="M9" i="15"/>
  <c r="G9" i="15"/>
  <c r="M8" i="15"/>
  <c r="G8" i="15"/>
  <c r="M7" i="15"/>
  <c r="G7" i="15"/>
  <c r="M6" i="15"/>
  <c r="G6" i="15"/>
  <c r="M5" i="15"/>
  <c r="G5" i="15"/>
  <c r="M4" i="15"/>
  <c r="G4" i="15"/>
  <c r="L27" i="14"/>
  <c r="K27" i="14"/>
  <c r="F27" i="14"/>
  <c r="E27" i="14"/>
  <c r="G21" i="14"/>
  <c r="M20" i="14"/>
  <c r="G20" i="14"/>
  <c r="M19" i="14"/>
  <c r="G19" i="14"/>
  <c r="M18" i="14"/>
  <c r="G18" i="14"/>
  <c r="M17" i="14"/>
  <c r="G17" i="14"/>
  <c r="M16" i="14"/>
  <c r="G16" i="14"/>
  <c r="M15" i="14"/>
  <c r="G15" i="14"/>
  <c r="M14" i="14"/>
  <c r="G14" i="14"/>
  <c r="M13" i="14"/>
  <c r="G13" i="14"/>
  <c r="M12" i="14"/>
  <c r="G12" i="14"/>
  <c r="M11" i="14"/>
  <c r="G11" i="14"/>
  <c r="M10" i="14"/>
  <c r="G10" i="14"/>
  <c r="M9" i="14"/>
  <c r="G9" i="14"/>
  <c r="M8" i="14"/>
  <c r="G8" i="14"/>
  <c r="M7" i="14"/>
  <c r="G7" i="14"/>
  <c r="M6" i="14"/>
  <c r="G6" i="14"/>
  <c r="M5" i="14"/>
  <c r="G5" i="14"/>
  <c r="M4" i="14"/>
  <c r="G4" i="14"/>
  <c r="G27" i="15" l="1"/>
  <c r="M27" i="15"/>
  <c r="G27" i="14"/>
  <c r="M27" i="14"/>
  <c r="L27" i="13"/>
  <c r="K27" i="13"/>
  <c r="F27" i="13"/>
  <c r="E27" i="13"/>
  <c r="G21" i="13"/>
  <c r="M20" i="13"/>
  <c r="G20" i="13"/>
  <c r="M19" i="13"/>
  <c r="G19" i="13"/>
  <c r="M18" i="13"/>
  <c r="G18" i="13"/>
  <c r="M17" i="13"/>
  <c r="G17" i="13"/>
  <c r="M16" i="13"/>
  <c r="G16" i="13"/>
  <c r="M15" i="13"/>
  <c r="G15" i="13"/>
  <c r="M14" i="13"/>
  <c r="G14" i="13"/>
  <c r="M13" i="13"/>
  <c r="G13" i="13"/>
  <c r="M12" i="13"/>
  <c r="G12" i="13"/>
  <c r="M11" i="13"/>
  <c r="G11" i="13"/>
  <c r="M10" i="13"/>
  <c r="G10" i="13"/>
  <c r="M9" i="13"/>
  <c r="G9" i="13"/>
  <c r="M8" i="13"/>
  <c r="G8" i="13"/>
  <c r="M7" i="13"/>
  <c r="G7" i="13"/>
  <c r="M6" i="13"/>
  <c r="G6" i="13"/>
  <c r="M5" i="13"/>
  <c r="G5" i="13"/>
  <c r="M4" i="13"/>
  <c r="G4" i="13"/>
  <c r="G27" i="13" l="1"/>
  <c r="M27" i="13"/>
  <c r="G13" i="12"/>
  <c r="G5" i="12" l="1"/>
  <c r="G6" i="12"/>
  <c r="G7" i="12"/>
  <c r="G8" i="12"/>
  <c r="G9" i="12"/>
  <c r="G10" i="12"/>
  <c r="G11" i="12"/>
  <c r="G12" i="12"/>
  <c r="G14" i="12"/>
  <c r="G15" i="12"/>
  <c r="G16" i="12"/>
  <c r="G17" i="12"/>
  <c r="G18" i="12"/>
  <c r="G19" i="12"/>
  <c r="G20" i="12"/>
  <c r="G21" i="12"/>
  <c r="G4" i="12"/>
  <c r="M5" i="12"/>
  <c r="M6" i="12"/>
  <c r="M7" i="12"/>
  <c r="M8" i="12"/>
  <c r="M9" i="12"/>
  <c r="M10" i="12"/>
  <c r="M11" i="12"/>
  <c r="M12" i="12"/>
  <c r="M13" i="12"/>
  <c r="M14" i="12"/>
  <c r="M15" i="12"/>
  <c r="M16" i="12"/>
  <c r="M17" i="12"/>
  <c r="M18" i="12"/>
  <c r="M19" i="12"/>
  <c r="M20" i="12"/>
  <c r="M4" i="12"/>
  <c r="L27" i="12"/>
  <c r="K27" i="12"/>
  <c r="F27" i="12"/>
  <c r="E27" i="12"/>
  <c r="G27" i="12" l="1"/>
  <c r="M27" i="12"/>
  <c r="M15" i="10" l="1"/>
  <c r="L27" i="11" l="1"/>
  <c r="K27" i="11"/>
  <c r="F27" i="11"/>
  <c r="E27" i="11"/>
  <c r="M14" i="11"/>
  <c r="M13" i="11"/>
  <c r="M12" i="11"/>
  <c r="M11" i="11"/>
  <c r="G11" i="11"/>
  <c r="M10" i="11"/>
  <c r="G10" i="11"/>
  <c r="M9" i="11"/>
  <c r="G9" i="11"/>
  <c r="M8" i="11"/>
  <c r="G8" i="11"/>
  <c r="M7" i="11"/>
  <c r="G7" i="11"/>
  <c r="M6" i="11"/>
  <c r="G6" i="11"/>
  <c r="M5" i="11"/>
  <c r="G5" i="11"/>
  <c r="M4" i="11"/>
  <c r="G4" i="11"/>
  <c r="M27" i="11" l="1"/>
  <c r="G27" i="11"/>
  <c r="M14" i="10"/>
  <c r="M13" i="10"/>
  <c r="G11" i="10"/>
  <c r="G10" i="10"/>
  <c r="G9" i="10" l="1"/>
  <c r="M12" i="10"/>
  <c r="M11" i="10"/>
  <c r="G8" i="10"/>
  <c r="G7" i="10"/>
  <c r="M10" i="10"/>
  <c r="G6" i="10" l="1"/>
  <c r="G5" i="10"/>
  <c r="M9" i="10"/>
  <c r="M8" i="10"/>
  <c r="M7" i="10"/>
  <c r="M6" i="10" l="1"/>
  <c r="G4" i="10" l="1"/>
  <c r="M5" i="10" l="1"/>
  <c r="M4" i="10"/>
  <c r="L27" i="10"/>
  <c r="K27" i="10"/>
  <c r="F27" i="10"/>
  <c r="E27" i="10"/>
  <c r="G27" i="10"/>
  <c r="M27" i="10" l="1"/>
  <c r="G23" i="9"/>
  <c r="G22" i="9"/>
  <c r="G21" i="9" l="1"/>
  <c r="L27" i="9"/>
  <c r="K27" i="9"/>
  <c r="F27" i="9"/>
  <c r="E27" i="9"/>
  <c r="G20" i="9" l="1"/>
  <c r="G27" i="9" s="1"/>
  <c r="G19" i="9"/>
  <c r="G18" i="9"/>
  <c r="G17" i="9"/>
  <c r="G16" i="9"/>
  <c r="M15" i="9"/>
  <c r="G15" i="9"/>
  <c r="M14" i="9"/>
  <c r="G14" i="9"/>
  <c r="M13" i="9"/>
  <c r="G13" i="9"/>
  <c r="M12" i="9"/>
  <c r="G12" i="9"/>
  <c r="M11" i="9"/>
  <c r="G11" i="9"/>
  <c r="M10" i="9"/>
  <c r="G10" i="9"/>
  <c r="M9" i="9"/>
  <c r="G9" i="9"/>
  <c r="M8" i="9"/>
  <c r="G8" i="9"/>
  <c r="M7" i="9"/>
  <c r="G7" i="9"/>
  <c r="M6" i="9"/>
  <c r="G6" i="9"/>
  <c r="M5" i="9"/>
  <c r="G5" i="9"/>
  <c r="M4" i="9"/>
  <c r="G4" i="9"/>
  <c r="F31" i="8"/>
  <c r="G31" i="8"/>
  <c r="E31" i="8"/>
  <c r="G20" i="8"/>
  <c r="G19" i="8"/>
  <c r="G18" i="8"/>
  <c r="G17" i="8"/>
  <c r="G16" i="8"/>
  <c r="G15" i="8"/>
  <c r="G14" i="8"/>
  <c r="G13" i="8"/>
  <c r="G12" i="8"/>
  <c r="G11" i="8"/>
  <c r="G10" i="8"/>
  <c r="M17" i="5"/>
  <c r="M16" i="5"/>
  <c r="M27" i="9" l="1"/>
  <c r="G4" i="8"/>
  <c r="G5" i="8"/>
  <c r="G6" i="8"/>
  <c r="G7" i="8"/>
  <c r="G8" i="8"/>
  <c r="G9" i="8"/>
  <c r="L22" i="8"/>
  <c r="L31" i="8" s="1"/>
  <c r="K22" i="8"/>
  <c r="K31" i="8" s="1"/>
  <c r="F22" i="8"/>
  <c r="E22" i="8"/>
  <c r="M15" i="8"/>
  <c r="M14" i="8"/>
  <c r="M13" i="8"/>
  <c r="M12" i="8"/>
  <c r="M11" i="8"/>
  <c r="M10" i="8"/>
  <c r="M9" i="8"/>
  <c r="M8" i="8"/>
  <c r="M7" i="8"/>
  <c r="M6" i="8"/>
  <c r="M5" i="8"/>
  <c r="M4" i="8"/>
  <c r="M15" i="5"/>
  <c r="G9" i="5"/>
  <c r="G8" i="5"/>
  <c r="G7" i="5"/>
  <c r="M14" i="5"/>
  <c r="M13" i="5"/>
  <c r="M12" i="5"/>
  <c r="G6" i="5"/>
  <c r="G5" i="5"/>
  <c r="M11" i="5"/>
  <c r="M10" i="5"/>
  <c r="M9" i="5"/>
  <c r="M14" i="4"/>
  <c r="M8" i="5"/>
  <c r="M7" i="5"/>
  <c r="M13" i="4"/>
  <c r="M12" i="4"/>
  <c r="M11" i="4"/>
  <c r="G12" i="4"/>
  <c r="G11" i="4"/>
  <c r="G10" i="4"/>
  <c r="G4" i="5"/>
  <c r="M6" i="5"/>
  <c r="M5" i="5"/>
  <c r="M4" i="5"/>
  <c r="L22" i="5"/>
  <c r="K22" i="5"/>
  <c r="F22" i="5"/>
  <c r="E22" i="5"/>
  <c r="M22" i="8" l="1"/>
  <c r="M31" i="8" s="1"/>
  <c r="G22" i="8"/>
  <c r="G22" i="5"/>
  <c r="M22" i="5"/>
  <c r="M10" i="4"/>
  <c r="G9" i="4"/>
  <c r="G8" i="4"/>
  <c r="G7" i="4"/>
  <c r="G6" i="4"/>
  <c r="M13" i="2"/>
  <c r="M9" i="4"/>
  <c r="M22" i="4" s="1"/>
  <c r="M8" i="4"/>
  <c r="G5" i="4"/>
  <c r="M5" i="4"/>
  <c r="M6" i="4"/>
  <c r="M7" i="4"/>
  <c r="G4" i="4"/>
  <c r="M4" i="4"/>
  <c r="L22" i="4"/>
  <c r="K22" i="4"/>
  <c r="F22" i="4"/>
  <c r="E22" i="4"/>
  <c r="G22" i="4" l="1"/>
  <c r="G14" i="2"/>
  <c r="M12" i="2"/>
  <c r="M11" i="2"/>
  <c r="G13" i="2"/>
  <c r="L22" i="3"/>
  <c r="K22" i="3"/>
  <c r="M5" i="3"/>
  <c r="M6" i="3"/>
  <c r="M7" i="3"/>
  <c r="M8" i="3"/>
  <c r="M9" i="3"/>
  <c r="M4" i="3"/>
  <c r="G5" i="3"/>
  <c r="G6" i="3"/>
  <c r="G7" i="3"/>
  <c r="G8" i="3"/>
  <c r="G9" i="3"/>
  <c r="G10" i="3"/>
  <c r="G4" i="3"/>
  <c r="E22" i="3"/>
  <c r="F22" i="3"/>
  <c r="M10" i="2"/>
  <c r="G12" i="2"/>
  <c r="G11" i="2"/>
  <c r="G10" i="2"/>
  <c r="G9" i="2"/>
  <c r="M9" i="2"/>
  <c r="M8" i="2"/>
  <c r="G8" i="2"/>
  <c r="G5" i="2"/>
  <c r="G6" i="2"/>
  <c r="G7" i="2"/>
  <c r="M7" i="2"/>
  <c r="M6" i="2"/>
  <c r="M5" i="2"/>
  <c r="M4" i="2"/>
  <c r="M22" i="3" l="1"/>
  <c r="G22" i="3"/>
  <c r="M9" i="1"/>
  <c r="G22" i="2"/>
  <c r="G4" i="2"/>
  <c r="L22" i="2"/>
  <c r="K22" i="2"/>
  <c r="F22" i="2"/>
  <c r="E22" i="2"/>
  <c r="M22" i="2" l="1"/>
  <c r="M8" i="1"/>
  <c r="G9" i="1"/>
  <c r="G8" i="1"/>
  <c r="G7" i="1"/>
  <c r="G6" i="1"/>
  <c r="G5" i="1"/>
  <c r="G22" i="1" s="1"/>
  <c r="G4" i="1"/>
  <c r="M7" i="1"/>
  <c r="M6" i="1"/>
  <c r="M5" i="1"/>
  <c r="M4" i="1"/>
  <c r="L22" i="1"/>
  <c r="F22" i="1"/>
  <c r="K22" i="1"/>
  <c r="E22" i="1"/>
  <c r="M22" i="1" l="1"/>
</calcChain>
</file>

<file path=xl/sharedStrings.xml><?xml version="1.0" encoding="utf-8"?>
<sst xmlns="http://schemas.openxmlformats.org/spreadsheetml/2006/main" count="940" uniqueCount="402">
  <si>
    <t xml:space="preserve">Ngày </t>
  </si>
  <si>
    <t xml:space="preserve">Tiền </t>
  </si>
  <si>
    <t xml:space="preserve"> Tiền</t>
  </si>
  <si>
    <t xml:space="preserve">tiền phòng 704 </t>
  </si>
  <si>
    <t xml:space="preserve">tiền phòng 404 </t>
  </si>
  <si>
    <t xml:space="preserve">tiền phòng 801 </t>
  </si>
  <si>
    <t xml:space="preserve">khách lẻ </t>
  </si>
  <si>
    <t xml:space="preserve">tiền phòng 304 </t>
  </si>
  <si>
    <t xml:space="preserve">Tổng </t>
  </si>
  <si>
    <t xml:space="preserve">XUẤT HÓA ĐƠN </t>
  </si>
  <si>
    <t xml:space="preserve">Nội Dung  </t>
  </si>
  <si>
    <t xml:space="preserve">HÓA ĐƠN ĐẦU VÀO </t>
  </si>
  <si>
    <t xml:space="preserve">Nội Dung </t>
  </si>
  <si>
    <t xml:space="preserve">Nước Dasani </t>
  </si>
  <si>
    <t xml:space="preserve">Tiền điện </t>
  </si>
  <si>
    <t xml:space="preserve">Viễn thông CMC </t>
  </si>
  <si>
    <t xml:space="preserve">Thuế </t>
  </si>
  <si>
    <t xml:space="preserve"> Tổng tiền  </t>
  </si>
  <si>
    <t xml:space="preserve">Tổng tiền </t>
  </si>
  <si>
    <t xml:space="preserve">Tiền nước </t>
  </si>
  <si>
    <t>Hóa đơn tiếp khách</t>
  </si>
  <si>
    <t xml:space="preserve">Khách lẻ </t>
  </si>
  <si>
    <t xml:space="preserve">Viễn Thông CMC </t>
  </si>
  <si>
    <t xml:space="preserve">tiền điện </t>
  </si>
  <si>
    <t>Tiền wifi</t>
  </si>
  <si>
    <t xml:space="preserve">Hđ Hoàng Văn Dương </t>
  </si>
  <si>
    <t xml:space="preserve">tiền nước giặt </t>
  </si>
  <si>
    <t xml:space="preserve">tiền nước </t>
  </si>
  <si>
    <t>chữ ký số WINCA</t>
  </si>
  <si>
    <t xml:space="preserve">hóa đơn xd NEW DANA </t>
  </si>
  <si>
    <t xml:space="preserve">tiền phòng 701 </t>
  </si>
  <si>
    <t xml:space="preserve">tiền phòng 504 </t>
  </si>
  <si>
    <t xml:space="preserve">khách lẻ  phòng 402 </t>
  </si>
  <si>
    <t xml:space="preserve">hóa đơn tiếp khách </t>
  </si>
  <si>
    <t>tiền phòng 801</t>
  </si>
  <si>
    <t>tiền phòng 304</t>
  </si>
  <si>
    <t xml:space="preserve">tiền phòng 601 </t>
  </si>
  <si>
    <t>hóa đơn xd new dana</t>
  </si>
  <si>
    <t>ví vimo</t>
  </si>
  <si>
    <t xml:space="preserve">nước giặt </t>
  </si>
  <si>
    <t xml:space="preserve">tiền wifi </t>
  </si>
  <si>
    <t>viễn thông cmc</t>
  </si>
  <si>
    <t>khách lẻ 404 , 504</t>
  </si>
  <si>
    <t>hóa đơn tiếp khách 2</t>
  </si>
  <si>
    <t xml:space="preserve">Ví vimo </t>
  </si>
  <si>
    <t>khách lẻ 702</t>
  </si>
  <si>
    <t xml:space="preserve">khách lẻ 504 </t>
  </si>
  <si>
    <t>hóa đơn tiếp khách</t>
  </si>
  <si>
    <t xml:space="preserve">Khách lẻ 302 </t>
  </si>
  <si>
    <t xml:space="preserve">hóa đơn tiếp khách 2 </t>
  </si>
  <si>
    <t>tiền wifi</t>
  </si>
  <si>
    <t xml:space="preserve">khách lẻ 802 </t>
  </si>
  <si>
    <t>phòng 304</t>
  </si>
  <si>
    <t xml:space="preserve">thu gom rác </t>
  </si>
  <si>
    <t xml:space="preserve">thiết bị wifi </t>
  </si>
  <si>
    <t>tiền điện</t>
  </si>
  <si>
    <t xml:space="preserve">viễn thông cmc </t>
  </si>
  <si>
    <t>khách Đình Quang p503,504</t>
  </si>
  <si>
    <t xml:space="preserve">vií vimo </t>
  </si>
  <si>
    <t>lõi lọc nước</t>
  </si>
  <si>
    <t xml:space="preserve">nước suối </t>
  </si>
  <si>
    <t>tiền rác</t>
  </si>
  <si>
    <t>thép vật liệu</t>
  </si>
  <si>
    <t xml:space="preserve">văn phòng phẩm </t>
  </si>
  <si>
    <t xml:space="preserve">vật liệu sửa chữa </t>
  </si>
  <si>
    <t>nước giặt</t>
  </si>
  <si>
    <t>khách Đức Hạnh 301</t>
  </si>
  <si>
    <t xml:space="preserve">Khách 802 </t>
  </si>
  <si>
    <t>Khách Ali Roshandel 602</t>
  </si>
  <si>
    <t>Vií vimo</t>
  </si>
  <si>
    <t>Hóa đơn xd NEW DANA</t>
  </si>
  <si>
    <t>khách lẻ Kim Namjomh 602</t>
  </si>
  <si>
    <t>khách lẻ</t>
  </si>
  <si>
    <t xml:space="preserve">viễn thông CMC </t>
  </si>
  <si>
    <t xml:space="preserve">tiền rác </t>
  </si>
  <si>
    <t xml:space="preserve">tnhh smart </t>
  </si>
  <si>
    <t xml:space="preserve">khách 304 </t>
  </si>
  <si>
    <t>khách lẻ 602</t>
  </si>
  <si>
    <t xml:space="preserve">khách lẻ 801 </t>
  </si>
  <si>
    <t>tiền nước</t>
  </si>
  <si>
    <t>hóa đơn tiếp khách 3</t>
  </si>
  <si>
    <t>dasani</t>
  </si>
  <si>
    <t xml:space="preserve">khách lẻ 704 </t>
  </si>
  <si>
    <t>Khách lẻ 302</t>
  </si>
  <si>
    <t xml:space="preserve">khách lẻ 701 </t>
  </si>
  <si>
    <t xml:space="preserve">CMC viễn thông </t>
  </si>
  <si>
    <t xml:space="preserve">khách lẻ 604,704 </t>
  </si>
  <si>
    <t>sửa điện thoại bàn</t>
  </si>
  <si>
    <t>khách lẻ Trang Nguyen</t>
  </si>
  <si>
    <t>khách lẻ 301</t>
  </si>
  <si>
    <t>khách lẻ Ngoc Huyen</t>
  </si>
  <si>
    <t>khách lẻ 801</t>
  </si>
  <si>
    <t>khách lẻ 401,402</t>
  </si>
  <si>
    <t>khách lẻ 302</t>
  </si>
  <si>
    <t>tăm bông, lược</t>
  </si>
  <si>
    <t xml:space="preserve">bộ bàn chải </t>
  </si>
  <si>
    <t xml:space="preserve">khách lẻ Thai Hien, Shu Ying </t>
  </si>
  <si>
    <t>Khách lẻ 702,703</t>
  </si>
  <si>
    <t>Hóa đơn tiếp khách 1</t>
  </si>
  <si>
    <t>Hóa đơn tiếp khách 2</t>
  </si>
  <si>
    <t>tiền phòng 604</t>
  </si>
  <si>
    <t>Hóa đơn tiếp khách 3</t>
  </si>
  <si>
    <t>Winpos 3Y</t>
  </si>
  <si>
    <t>Dasani</t>
  </si>
  <si>
    <t xml:space="preserve">phòng 504 Ngọc Ngũ </t>
  </si>
  <si>
    <t>801 ngày 6/8 -10/8</t>
  </si>
  <si>
    <t xml:space="preserve">cmc </t>
  </si>
  <si>
    <t>khách lẻ 302,502,702</t>
  </si>
  <si>
    <t>Dasani 2</t>
  </si>
  <si>
    <t xml:space="preserve">ví vimo </t>
  </si>
  <si>
    <t>CMC viễn thông</t>
  </si>
  <si>
    <t>khách lẻ 702 Hsu</t>
  </si>
  <si>
    <t>khách lẻ 604</t>
  </si>
  <si>
    <t xml:space="preserve">Hóa đơn tiếp khách </t>
  </si>
  <si>
    <t xml:space="preserve">tiền sơn </t>
  </si>
  <si>
    <t>sửa bồn nước</t>
  </si>
  <si>
    <t xml:space="preserve">vimo </t>
  </si>
  <si>
    <t>khách lẻ 501</t>
  </si>
  <si>
    <t>CMC</t>
  </si>
  <si>
    <t>tiền phòng khách Hữu Tuệ</t>
  </si>
  <si>
    <t>tiền phòng khách Fahad ali</t>
  </si>
  <si>
    <t>tiền phòng 504 Vitalii</t>
  </si>
  <si>
    <t>phần mềm wintech</t>
  </si>
  <si>
    <t>tiền phòng 404 Ko sumin</t>
  </si>
  <si>
    <t>tiền phòng 704 Kim Huynsik</t>
  </si>
  <si>
    <t xml:space="preserve">tiền phòng 702 </t>
  </si>
  <si>
    <t>tiền phòng 501 Phusa</t>
  </si>
  <si>
    <t xml:space="preserve">tiền phòng 801 Văn Danh </t>
  </si>
  <si>
    <t xml:space="preserve">tiền phòng 901 Văn Danh </t>
  </si>
  <si>
    <t xml:space="preserve">tiền phòng 502 hsu </t>
  </si>
  <si>
    <t xml:space="preserve">tiền phòng 602 dongku </t>
  </si>
  <si>
    <t xml:space="preserve">CMC </t>
  </si>
  <si>
    <t>tiền phòng 704 kim hyunsik</t>
  </si>
  <si>
    <t>Tiền rác</t>
  </si>
  <si>
    <t>bảo hiểm cháy nổ</t>
  </si>
  <si>
    <t>phòng 501 - quang thu</t>
  </si>
  <si>
    <t xml:space="preserve">chống mối </t>
  </si>
  <si>
    <t>tiền phòng 701,703 Shinde</t>
  </si>
  <si>
    <t>tiền phòng 502 Siti</t>
  </si>
  <si>
    <t>tiền phòng 404 Ko Sumin</t>
  </si>
  <si>
    <t>tiền phòng 504 Alena</t>
  </si>
  <si>
    <t>tiền phòng 704 Maltsev Vladimir</t>
  </si>
  <si>
    <t>phòng 702 - Gou jiang</t>
  </si>
  <si>
    <t>phòng 402 - Ozerov</t>
  </si>
  <si>
    <t>phòng 604 - Kumar Bharat</t>
  </si>
  <si>
    <t>phòng 504 - Alena</t>
  </si>
  <si>
    <t>Tiền phòng 702,703,502 out ngày 29/1</t>
  </si>
  <si>
    <t>tiền phòng 402 - kira</t>
  </si>
  <si>
    <t>hóa đơn tiếp khách 4</t>
  </si>
  <si>
    <t>tiền phòng 402 Alena Vasileva</t>
  </si>
  <si>
    <t>tiền phòng 701 Fan jiajun</t>
  </si>
  <si>
    <t xml:space="preserve">tiền phòng 801 - sandeep </t>
  </si>
  <si>
    <t>tiền phòng 402 - LI xuanyu</t>
  </si>
  <si>
    <t>tiền phòng 302 neuman</t>
  </si>
  <si>
    <t>tiền phòng 301 tanaka</t>
  </si>
  <si>
    <t xml:space="preserve">tiền phòng 402 niko </t>
  </si>
  <si>
    <t>tiền phòng 701 joel massing</t>
  </si>
  <si>
    <t>tiền phòng 702 stefanovics</t>
  </si>
  <si>
    <t xml:space="preserve">tiền phòng 602 madalina </t>
  </si>
  <si>
    <t>router wifi</t>
  </si>
  <si>
    <t>cmc</t>
  </si>
  <si>
    <t>tiền phòng 402 ming ke</t>
  </si>
  <si>
    <t>tiền phòng 501 Mykola Neveselyi</t>
  </si>
  <si>
    <t xml:space="preserve">tiền phòng 502 kindrick bradon </t>
  </si>
  <si>
    <t xml:space="preserve">tiền phòng 302 Katie blann </t>
  </si>
  <si>
    <t>tiền phòng 302 Yucel Sengul</t>
  </si>
  <si>
    <t xml:space="preserve">tiền phòng 502 jie zan </t>
  </si>
  <si>
    <t xml:space="preserve">tiền phòng 702 Stepan </t>
  </si>
  <si>
    <t>tiền phòng 603 Laura do trang</t>
  </si>
  <si>
    <t>dịch vụ hóa đơn điện tử</t>
  </si>
  <si>
    <t>tiền phòng 502 - kumar</t>
  </si>
  <si>
    <t>tiền phòng 602 - Marcus</t>
  </si>
  <si>
    <t xml:space="preserve">Tiền rác </t>
  </si>
  <si>
    <t xml:space="preserve">tiền phòng 703 Donaire Sarah </t>
  </si>
  <si>
    <t>tiền phòng 701 kabita</t>
  </si>
  <si>
    <t xml:space="preserve">tiền phòng 302 rebecca </t>
  </si>
  <si>
    <t>tiền phòng 402 Wei Zhixiong</t>
  </si>
  <si>
    <t xml:space="preserve">tiền phòng 402 graterol </t>
  </si>
  <si>
    <t>tiền phòng 702 Mariam Kyslytsia</t>
  </si>
  <si>
    <t>tiền phòng 602 setlovskyy</t>
  </si>
  <si>
    <t xml:space="preserve">tiền phòng 303 Karina Skurat </t>
  </si>
  <si>
    <t>tiền phòng 504 CHIMITOVA</t>
  </si>
  <si>
    <t xml:space="preserve">tiền phòng 302 Roman Goldobin </t>
  </si>
  <si>
    <t xml:space="preserve">tiền phòng 603 Andrew Hewitt </t>
  </si>
  <si>
    <t xml:space="preserve">tiền phòng 604 Thien An Nguyen </t>
  </si>
  <si>
    <t xml:space="preserve">tiền phòng 701 hwang seunguk </t>
  </si>
  <si>
    <t>tiền phòng 702 Ahmad Namo</t>
  </si>
  <si>
    <t xml:space="preserve">tiền phòng 601 Lea rothmund </t>
  </si>
  <si>
    <t>vimo</t>
  </si>
  <si>
    <t xml:space="preserve">tiền phòng 402, 602 Zinovieva Iryna </t>
  </si>
  <si>
    <t xml:space="preserve">tiền phòng 502 Alina Kuznetsova </t>
  </si>
  <si>
    <t>tiền phòng 704 miroii evgenii</t>
  </si>
  <si>
    <t>tiền phòng 402 Zang Yana</t>
  </si>
  <si>
    <t>tiền phòng 703 LEKOMTSEVA OLGA</t>
  </si>
  <si>
    <t>tiền phòng 702 Isak Ziedorn</t>
  </si>
  <si>
    <t>tiền phòng 501 Alexandr Burak</t>
  </si>
  <si>
    <t>tiền phòng 403 Kovalev Sergei</t>
  </si>
  <si>
    <t xml:space="preserve">tiền phòng 702 Nicolas Salvagno </t>
  </si>
  <si>
    <t xml:space="preserve">tiền phòng 801 thai ron </t>
  </si>
  <si>
    <t>tiền phòng 802 Miroi Evgenii</t>
  </si>
  <si>
    <t>tiền phòng 504 park hee ra</t>
  </si>
  <si>
    <t xml:space="preserve">hóa đơn máy giặt </t>
  </si>
  <si>
    <t>tiền phòng 502 Curulli Dominic Italo</t>
  </si>
  <si>
    <t>tiền phòng đoàn Văn Thị Tuyết</t>
  </si>
  <si>
    <t>tiền phòng 502 Ý Ly</t>
  </si>
  <si>
    <t>tiền phòng 702 Igor Kovaltchouk</t>
  </si>
  <si>
    <t xml:space="preserve">dasani </t>
  </si>
  <si>
    <t>tiền phòng 901 ZHENG QIN</t>
  </si>
  <si>
    <t>tiền phòng 704 tân tiến senko</t>
  </si>
  <si>
    <t>tiền phòng 302 Hsi-hung lin</t>
  </si>
  <si>
    <t>tiền phòng 902 miroi evgenii</t>
  </si>
  <si>
    <t>tiền phòng 504- Vân</t>
  </si>
  <si>
    <t xml:space="preserve">máy lọc nước </t>
  </si>
  <si>
    <t xml:space="preserve">Tiền phòng 304 </t>
  </si>
  <si>
    <t>tiền phòng 404 Golosova Iuliia</t>
  </si>
  <si>
    <t xml:space="preserve">tiền phòng 301 - Vân </t>
  </si>
  <si>
    <t>tiền phòng 601- Nguyễn T Thu Hương</t>
  </si>
  <si>
    <t xml:space="preserve">tiền phòng 901 - Ngọc Anh </t>
  </si>
  <si>
    <t xml:space="preserve">tiền phòng 602 Lorenzo </t>
  </si>
  <si>
    <t>tiền phòng 603 Thanh Hường</t>
  </si>
  <si>
    <t>tiền phòng 701 Htan Ywee Lan</t>
  </si>
  <si>
    <t>tiền phòng 504 - cao thị yến</t>
  </si>
  <si>
    <t>tiền phòng Chị Nhung</t>
  </si>
  <si>
    <t>tiền phòng Tố Uyên</t>
  </si>
  <si>
    <t>ấm siêu tốc</t>
  </si>
  <si>
    <t>tiền phòng 402 Ellie Humphrey</t>
  </si>
  <si>
    <t>tiền phòng 901,902 Đình Dinh</t>
  </si>
  <si>
    <t>tiền phòng 602 Kim Jonghwan</t>
  </si>
  <si>
    <t>tiền phòng 703 Olga Gurinovich</t>
  </si>
  <si>
    <t>tiền phòng 802 chimitova valentina</t>
  </si>
  <si>
    <t>tiền nước giặt</t>
  </si>
  <si>
    <t>tiền phòng 302 Kim Jonghwan</t>
  </si>
  <si>
    <t>Tiền phòng 301,302 Xuân Hòa</t>
  </si>
  <si>
    <t>tiền phòng 402 ngô thị hiền</t>
  </si>
  <si>
    <t>tiền phòng 502 mạnh quang</t>
  </si>
  <si>
    <t>tiền phòng 702 ngọc hà</t>
  </si>
  <si>
    <t>tiền phòng 703 Phi Hùng (901 Vy Nguyen)</t>
  </si>
  <si>
    <t>Chống thấm</t>
  </si>
  <si>
    <t>tiền phòng 404  Golosova Iuliia</t>
  </si>
  <si>
    <t>phí dịch vụ asm</t>
  </si>
  <si>
    <t>ASM</t>
  </si>
  <si>
    <t>tiền phòng 602,603 Aaniaa Jamil</t>
  </si>
  <si>
    <t>tiền phòng 503 Văn Nguyên</t>
  </si>
  <si>
    <t>tiền phòng 402 Giang Nguyen</t>
  </si>
  <si>
    <t>tiền phòng 403 Hồ Thị Hùy</t>
  </si>
  <si>
    <t xml:space="preserve">tiền phòng 502 Xuân Hiệp </t>
  </si>
  <si>
    <t>tiền phòng 602 Nguyễn Thị Thủy</t>
  </si>
  <si>
    <t>tiền phòng 601,603 Chloe Lim Wanting</t>
  </si>
  <si>
    <t>tiền phòng 301 Phạm Thị Oanh</t>
  </si>
  <si>
    <t xml:space="preserve">tiền phòng 302 Nguyễn Lương Trọng </t>
  </si>
  <si>
    <t>tiền phòng 403 Việt Hà</t>
  </si>
  <si>
    <t>tiền phòng 601- Vũ Minh Đức</t>
  </si>
  <si>
    <t>tiền phòng 302,502 Chong Dongmoon</t>
  </si>
  <si>
    <t>tiền phòng Ngo phuong loan</t>
  </si>
  <si>
    <t>tiền phòng 702 Chimitov</t>
  </si>
  <si>
    <t>tiền phòng Trần Thu Thủy</t>
  </si>
  <si>
    <t xml:space="preserve">tiền phòng 402 Nguyễn Văn Nam </t>
  </si>
  <si>
    <t>tiền phòng 603 Lê Thị Đào</t>
  </si>
  <si>
    <t>tiền phòng 704 Nguyễn Hương Ly</t>
  </si>
  <si>
    <t>tiền phòng 301 Ngọc Ngũ</t>
  </si>
  <si>
    <t>Tiền phòng 601,701,703 Nguyễn Hà</t>
  </si>
  <si>
    <t>tiền phòng 603 Nguyễn Huyền</t>
  </si>
  <si>
    <t>tiền phòng 302,402,404 Nguyễn Thanh Vân</t>
  </si>
  <si>
    <t>Tiền phòng 403 trần thị dung</t>
  </si>
  <si>
    <t>tiền phòng 301,303,401</t>
  </si>
  <si>
    <t>tiền phòng 501,502,503 thu nga</t>
  </si>
  <si>
    <t>tiền phòng Tạ T Kiều Oanh</t>
  </si>
  <si>
    <t>tiền phòng 901 Duyen Ta</t>
  </si>
  <si>
    <t>tiền phòng 301 Lê Thị Hà</t>
  </si>
  <si>
    <t>tiền phòng 402,403 Vũ Hợp</t>
  </si>
  <si>
    <t xml:space="preserve">tiền phòng 704 chị Huyền </t>
  </si>
  <si>
    <t>tiền phòng 502 Văn Phòng</t>
  </si>
  <si>
    <t>tiền phòng 901 Minh Vũ</t>
  </si>
  <si>
    <t>tiền phòng 701,703 Nguyen Kathy</t>
  </si>
  <si>
    <t>tiền phòng 302,303  Cá Hồi</t>
  </si>
  <si>
    <t>tiền phòng 404 Đào Tuấn Anh</t>
  </si>
  <si>
    <t>tiền phòng 501 Thu quỳnh</t>
  </si>
  <si>
    <t>tiền phòng 502,504 Nhã Quyên</t>
  </si>
  <si>
    <t xml:space="preserve">tiền phòng 503 Yang Jeagi </t>
  </si>
  <si>
    <t xml:space="preserve">tiền phòng 601 Chị Trang </t>
  </si>
  <si>
    <t>tiền phòng 603 Văn Bình</t>
  </si>
  <si>
    <t>tiền phòng 604 Phạm Văn Thủy</t>
  </si>
  <si>
    <t>tiền phòng 701, 703 Ngọc Bảo</t>
  </si>
  <si>
    <t>tiền phòng 702 Nam Thành</t>
  </si>
  <si>
    <t>tiền phòng 802 Chimitova</t>
  </si>
  <si>
    <t>tiền phòng 902 Dũng Tạ</t>
  </si>
  <si>
    <t>tiền phòng 801,901 Đỗ Việt Hà</t>
  </si>
  <si>
    <t xml:space="preserve">tiền phòng 704 Nhật Nguyễn </t>
  </si>
  <si>
    <t>tiền phòng 602 Hương Thu</t>
  </si>
  <si>
    <t>tiền phòng 402,502 Mỹ Hạnh</t>
  </si>
  <si>
    <t>tiền phòng Xuân Trường</t>
  </si>
  <si>
    <t>tiền phòng Đồng Xèng</t>
  </si>
  <si>
    <t>tiền phòng 602 phương anh nguyễn</t>
  </si>
  <si>
    <t>tiền phòng 302 Đạt Đỗ</t>
  </si>
  <si>
    <t xml:space="preserve">tiền phòng Cao Thị Nhị </t>
  </si>
  <si>
    <t xml:space="preserve">tiền phòng 702,703 Kiều Minh Nhi </t>
  </si>
  <si>
    <t>tiền phòng 404 Thành Nguyễn</t>
  </si>
  <si>
    <t xml:space="preserve">tiền phòng 502 Guldana Nuskabayeva </t>
  </si>
  <si>
    <t xml:space="preserve">tiền phòng 701 Daniela Fusar Poli </t>
  </si>
  <si>
    <t>tiền phòng 302 Tamara</t>
  </si>
  <si>
    <t>tiền phòng 301,303,401 Thùy Nhung</t>
  </si>
  <si>
    <t>tiền phòng 302 thanh boốt</t>
  </si>
  <si>
    <t xml:space="preserve">tiền phòng 701 Vĩnh Lộc </t>
  </si>
  <si>
    <t>tiền phòng 702 Bùi Xuân Luận</t>
  </si>
  <si>
    <t>tiền phòng 703 Tôn Nữ Thùy Dung</t>
  </si>
  <si>
    <t>tiền phòng 603 Muller Jose</t>
  </si>
  <si>
    <t>tiền phòng 503 Ding Mingfang</t>
  </si>
  <si>
    <t>tiền phòng 501 ishraq saleh a</t>
  </si>
  <si>
    <t>tiền phòng 502 Lan Anh</t>
  </si>
  <si>
    <t>tiền phòng 703,704 Mergim Mehmetaj</t>
  </si>
  <si>
    <t xml:space="preserve">tiền phòng 502 Rusty Sharman </t>
  </si>
  <si>
    <t>ổ nối điện</t>
  </si>
  <si>
    <t>tiền phòng 402,403 Nguyễn Tiến Thành</t>
  </si>
  <si>
    <t>tiền phòng 701</t>
  </si>
  <si>
    <t>tiền phòng 801 Kim Tuyến</t>
  </si>
  <si>
    <t>tiền phòng 404 kim donghyuk</t>
  </si>
  <si>
    <t>tiền phòng 702,703 Mousa Mohammed A</t>
  </si>
  <si>
    <t>tiền phòng 602 Kwan Nguyen</t>
  </si>
  <si>
    <t>tiền phòng 302 Martin Wimmer</t>
  </si>
  <si>
    <t xml:space="preserve">tiền phòng 402 dean justin bell </t>
  </si>
  <si>
    <t xml:space="preserve">tiền phòng 403 Sherwell </t>
  </si>
  <si>
    <t>tiền phòng 502 Wilfred Lee</t>
  </si>
  <si>
    <t xml:space="preserve">tiền phòng 702 Fang Weihao </t>
  </si>
  <si>
    <t xml:space="preserve">tiền phòng 801 Cao Nguyên Việt </t>
  </si>
  <si>
    <t xml:space="preserve">tiền phòng 701 Cao Nguyên Việt </t>
  </si>
  <si>
    <t>tiền phòng 502 Li Jinling</t>
  </si>
  <si>
    <t>tiền phòng 702,703 Alolayan Salwa Abudullah A</t>
  </si>
  <si>
    <t xml:space="preserve">tiền phòng 402 Konnur Basavaraj </t>
  </si>
  <si>
    <t>tiền phòng 703 Mohammad Tousif</t>
  </si>
  <si>
    <t>tiền phòng 404 Tấn Vinh</t>
  </si>
  <si>
    <t>tiền phòng 602 Siu Man Kit</t>
  </si>
  <si>
    <t>khăn tắm</t>
  </si>
  <si>
    <t xml:space="preserve">tiền phòng 402 Coppola </t>
  </si>
  <si>
    <t>tiền phòng 702 Lê Thị Na</t>
  </si>
  <si>
    <t>tiền phòng 802 Chimitova valentina</t>
  </si>
  <si>
    <t>tấm trang trí</t>
  </si>
  <si>
    <t xml:space="preserve">tiền phòng 602 Moore Lindsay </t>
  </si>
  <si>
    <t xml:space="preserve">tiền phòng 704 Bảo Toàn </t>
  </si>
  <si>
    <t>tiền phòng 801 Thanh Tuyen Pham</t>
  </si>
  <si>
    <t>tiền phòng 602 Hung Truong</t>
  </si>
  <si>
    <t>tiền phòng 901 Nguyen Le Uyen</t>
  </si>
  <si>
    <t>tiền phòng 602 Lệ Lê</t>
  </si>
  <si>
    <t>chữ ký số</t>
  </si>
  <si>
    <t xml:space="preserve">tiền phòng 901 Lily Rose Clarke </t>
  </si>
  <si>
    <t>Bàn chải</t>
  </si>
  <si>
    <t xml:space="preserve">tiền phòng 502 Jan Hubert </t>
  </si>
  <si>
    <t>tiền phòng 504 Ky Nam</t>
  </si>
  <si>
    <t>tiền phòng 302 Ti Chau</t>
  </si>
  <si>
    <t xml:space="preserve">tiền phòng 702 Hans Thorsten </t>
  </si>
  <si>
    <t>phần mềm Win</t>
  </si>
  <si>
    <t>tiền phòng 602 Văn Hùng</t>
  </si>
  <si>
    <t>tiền phòng 704,801 Vĩnh Hạnh</t>
  </si>
  <si>
    <t xml:space="preserve">tiền phòng 702 Hsu </t>
  </si>
  <si>
    <t>tiền phòng 402 Chang Wonjae</t>
  </si>
  <si>
    <t>tiền phòng 404 - Lukin Vasyl</t>
  </si>
  <si>
    <t>tiền phòng 604 Vĩnh Hạnh</t>
  </si>
  <si>
    <t>tiền phòng 802 Thành Dĩnh</t>
  </si>
  <si>
    <t xml:space="preserve">tiền phòng 702 Patridge Scott Laurence </t>
  </si>
  <si>
    <t>chống thấm</t>
  </si>
  <si>
    <t>Bảo hiểm</t>
  </si>
  <si>
    <t>tiền phòng 302 Acharya Aalhad</t>
  </si>
  <si>
    <t>tiền phòng 702 Kai Kluber Uwe Bernhard</t>
  </si>
  <si>
    <t xml:space="preserve">tiền phòng 602 Telisheva Mariia </t>
  </si>
  <si>
    <t>tiền phòng 801,802 Van Nhat</t>
  </si>
  <si>
    <t>tiền phòng 801 Trương mến</t>
  </si>
  <si>
    <t>tiền phòng  501,503 seth carey</t>
  </si>
  <si>
    <t xml:space="preserve">tiền phòng 702 Gornall Bradley </t>
  </si>
  <si>
    <t xml:space="preserve">tiền phòng 402 Le Thien Duc </t>
  </si>
  <si>
    <t>tiền phòng 701 Zou Xinwei</t>
  </si>
  <si>
    <t>Agoda</t>
  </si>
  <si>
    <t>tiền phòng 902 Bảo Trần</t>
  </si>
  <si>
    <t xml:space="preserve">tiền phòng 801 Barel Kurtztag Noa </t>
  </si>
  <si>
    <t xml:space="preserve">tiền phòng 403 Correia Da Silva Alber </t>
  </si>
  <si>
    <t>tiền phòng 302 vũ van tuấn</t>
  </si>
  <si>
    <t xml:space="preserve">tiền phòng 702 Tanouris Alexandros </t>
  </si>
  <si>
    <t>tiền phòng 603  Panchyrz Bogdan Karol</t>
  </si>
  <si>
    <t>tiền phòng 401 Ý Ly</t>
  </si>
  <si>
    <t>tiền phòng 504, 902 tia leinonen</t>
  </si>
  <si>
    <t>tiền phòng 901, 701,704 alvarez</t>
  </si>
  <si>
    <t>tiền phòng 702 Anthony</t>
  </si>
  <si>
    <t>tiền phòng 501,502 Artem</t>
  </si>
  <si>
    <t>tiền phòng 901  Lan Châu</t>
  </si>
  <si>
    <t xml:space="preserve">tiền phòng 503 Pietrzak Patryk </t>
  </si>
  <si>
    <t>tiền phòng 602 Kahraman Cesim</t>
  </si>
  <si>
    <t>tiền phòng 703 Chinzorig Lkhagvadulam</t>
  </si>
  <si>
    <t>tiền phòng 702 Diễm Xưa</t>
  </si>
  <si>
    <t>tiền phòng 302 Senko</t>
  </si>
  <si>
    <t>tiền phòng 704 Dhindsa Max</t>
  </si>
  <si>
    <t>rèm cửa</t>
  </si>
  <si>
    <t xml:space="preserve">tiền phòng 702 Jake Cadney </t>
  </si>
  <si>
    <t xml:space="preserve">Tiền phòng 502 Jensen Samantha </t>
  </si>
  <si>
    <t>tiền phòng 902 Trần Tố Uyên</t>
  </si>
  <si>
    <t xml:space="preserve">tiền phòng 402 Iliia berezneva </t>
  </si>
  <si>
    <t xml:space="preserve">tiền phòng 502 Zybina Anastasiia </t>
  </si>
  <si>
    <t>tiền phòng 302 quốc tuấn</t>
  </si>
  <si>
    <t>tiền phòng 301,303 trọng nghĩa ( Quỳnh Anh )</t>
  </si>
  <si>
    <t xml:space="preserve">tiền phòng 604 kim kyungsoo </t>
  </si>
  <si>
    <t>tiền phòng 801 Loboda</t>
  </si>
  <si>
    <t>tiền phòng 704,902 Fahad O</t>
  </si>
  <si>
    <t>tiền phòng 602, 901 Tuấn Anh</t>
  </si>
  <si>
    <t>tiền phòng 601 Tuấn Anh</t>
  </si>
  <si>
    <t xml:space="preserve">tiền phòng 404 Zverev Gleb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</si>
</sst>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  <xf numFmtId="3" fontId="0" fillId="0" borderId="0" xfId="0" applyNumberFormat="1"/>
    <xf numFmtId="17" fontId="0" fillId="0" borderId="0" xfId="0" applyNumberFormat="1" applyAlignment="1">
      <alignment horizontal="center"/>
    </xf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23"/>
  <sheetViews>
    <sheetView workbookViewId="0">
      <selection activeCell="J33" sqref="J33"/>
    </sheetView>
  </sheetViews>
  <sheetFormatPr defaultRowHeight="15" x14ac:dyDescent="0.25"/>
  <cols>
    <col min="2" max="2" width="16.85546875" customWidth="1"/>
    <col min="3" max="3" width="9.140625" customWidth="1"/>
    <col min="4" max="4" width="21.28515625" customWidth="1"/>
    <col min="5" max="5" width="13" customWidth="1"/>
    <col min="6" max="7" width="12.5703125" customWidth="1"/>
    <col min="8" max="8" width="19.85546875" customWidth="1"/>
    <col min="10" max="10" width="22.7109375" customWidth="1"/>
    <col min="11" max="11" width="11.7109375" customWidth="1"/>
    <col min="12" max="12" width="11.85546875" customWidth="1"/>
    <col min="13" max="13" width="12.85546875" customWidth="1"/>
  </cols>
  <sheetData>
    <row r="3" spans="2:13" x14ac:dyDescent="0.25">
      <c r="B3" t="s">
        <v>9</v>
      </c>
      <c r="C3" s="1" t="s">
        <v>0</v>
      </c>
      <c r="D3" s="1" t="s">
        <v>10</v>
      </c>
      <c r="E3" s="1" t="s">
        <v>2</v>
      </c>
      <c r="F3" s="1" t="s">
        <v>16</v>
      </c>
      <c r="G3" s="1" t="s">
        <v>17</v>
      </c>
      <c r="H3" s="1" t="s">
        <v>11</v>
      </c>
      <c r="I3" s="1" t="s">
        <v>0</v>
      </c>
      <c r="J3" s="1" t="s">
        <v>12</v>
      </c>
      <c r="K3" s="1" t="s">
        <v>1</v>
      </c>
      <c r="L3" s="1" t="s">
        <v>16</v>
      </c>
      <c r="M3" s="1" t="s">
        <v>18</v>
      </c>
    </row>
    <row r="4" spans="2:13" x14ac:dyDescent="0.25">
      <c r="C4" s="3">
        <v>45296</v>
      </c>
      <c r="D4" s="1" t="s">
        <v>6</v>
      </c>
      <c r="E4" s="2">
        <v>1312963</v>
      </c>
      <c r="F4" s="2">
        <v>105037</v>
      </c>
      <c r="G4" s="2">
        <f>SUM(E4:F4)</f>
        <v>1418000</v>
      </c>
      <c r="I4" s="3">
        <v>45321</v>
      </c>
      <c r="J4" s="1" t="s">
        <v>37</v>
      </c>
      <c r="K4" s="2">
        <v>16805556</v>
      </c>
      <c r="L4" s="2">
        <v>1344444</v>
      </c>
      <c r="M4" s="2">
        <f t="shared" ref="M4:M10" si="0">SUM(K4:L4)</f>
        <v>18150000</v>
      </c>
    </row>
    <row r="5" spans="2:13" x14ac:dyDescent="0.25">
      <c r="C5" s="3">
        <v>45303</v>
      </c>
      <c r="D5" s="1" t="s">
        <v>4</v>
      </c>
      <c r="E5" s="2">
        <v>6912500</v>
      </c>
      <c r="F5" s="2">
        <v>553000</v>
      </c>
      <c r="G5" s="2">
        <f t="shared" ref="G5:G10" si="1">SUM(E5:F5)</f>
        <v>7465500</v>
      </c>
      <c r="I5" s="3">
        <v>45321</v>
      </c>
      <c r="J5" s="1" t="s">
        <v>38</v>
      </c>
      <c r="K5" s="2">
        <v>87455</v>
      </c>
      <c r="L5" s="2">
        <v>8745</v>
      </c>
      <c r="M5" s="2">
        <f t="shared" si="0"/>
        <v>96200</v>
      </c>
    </row>
    <row r="6" spans="2:13" x14ac:dyDescent="0.25">
      <c r="C6" s="3">
        <v>45309</v>
      </c>
      <c r="D6" s="1" t="s">
        <v>34</v>
      </c>
      <c r="E6" s="2">
        <v>833333</v>
      </c>
      <c r="F6" s="2">
        <v>66667</v>
      </c>
      <c r="G6" s="2">
        <f t="shared" si="1"/>
        <v>900000</v>
      </c>
      <c r="I6" s="3">
        <v>45303</v>
      </c>
      <c r="J6" s="1" t="s">
        <v>39</v>
      </c>
      <c r="K6" s="2">
        <v>1050000</v>
      </c>
      <c r="L6" s="2">
        <v>105000</v>
      </c>
      <c r="M6" s="2">
        <f t="shared" si="0"/>
        <v>1155000</v>
      </c>
    </row>
    <row r="7" spans="2:13" x14ac:dyDescent="0.25">
      <c r="C7" s="3">
        <v>45311</v>
      </c>
      <c r="D7" s="1" t="s">
        <v>35</v>
      </c>
      <c r="E7" s="2">
        <v>8364500</v>
      </c>
      <c r="F7" s="2">
        <v>669160</v>
      </c>
      <c r="G7" s="2">
        <f t="shared" si="1"/>
        <v>9033660</v>
      </c>
      <c r="I7" s="3">
        <v>45300</v>
      </c>
      <c r="J7" s="1" t="s">
        <v>27</v>
      </c>
      <c r="K7" s="2">
        <v>1232382</v>
      </c>
      <c r="L7" s="2">
        <v>67734</v>
      </c>
      <c r="M7" s="2">
        <f t="shared" si="0"/>
        <v>1300116</v>
      </c>
    </row>
    <row r="8" spans="2:13" x14ac:dyDescent="0.25">
      <c r="C8" s="3">
        <v>45315</v>
      </c>
      <c r="D8" s="1" t="s">
        <v>36</v>
      </c>
      <c r="E8" s="2">
        <v>370370</v>
      </c>
      <c r="F8" s="2">
        <v>29630</v>
      </c>
      <c r="G8" s="2">
        <f t="shared" si="1"/>
        <v>400000</v>
      </c>
      <c r="I8" s="3">
        <v>45322</v>
      </c>
      <c r="J8" s="1" t="s">
        <v>40</v>
      </c>
      <c r="K8" s="2">
        <v>510455</v>
      </c>
      <c r="L8" s="2">
        <v>51046</v>
      </c>
      <c r="M8" s="2">
        <f t="shared" si="0"/>
        <v>561501</v>
      </c>
    </row>
    <row r="9" spans="2:13" x14ac:dyDescent="0.25">
      <c r="C9" s="3">
        <v>45317</v>
      </c>
      <c r="D9" s="1" t="s">
        <v>6</v>
      </c>
      <c r="E9" s="2">
        <v>2777778</v>
      </c>
      <c r="F9" s="2">
        <v>222222</v>
      </c>
      <c r="G9" s="2">
        <f t="shared" si="1"/>
        <v>3000000</v>
      </c>
      <c r="I9" s="3">
        <v>45295</v>
      </c>
      <c r="J9" s="1" t="s">
        <v>41</v>
      </c>
      <c r="K9" s="2">
        <v>20000</v>
      </c>
      <c r="L9" s="2">
        <v>2000</v>
      </c>
      <c r="M9" s="2">
        <f t="shared" si="0"/>
        <v>22000</v>
      </c>
    </row>
    <row r="10" spans="2:13" x14ac:dyDescent="0.25">
      <c r="C10" s="3">
        <v>45320</v>
      </c>
      <c r="D10" s="1" t="s">
        <v>6</v>
      </c>
      <c r="E10" s="2">
        <v>1666667</v>
      </c>
      <c r="F10" s="2">
        <v>333333</v>
      </c>
      <c r="G10" s="2">
        <f t="shared" si="1"/>
        <v>2000000</v>
      </c>
      <c r="I10" s="6">
        <v>45658</v>
      </c>
      <c r="J10" s="1" t="s">
        <v>55</v>
      </c>
      <c r="K10" s="2">
        <v>9970520</v>
      </c>
      <c r="L10" s="2">
        <v>797642</v>
      </c>
      <c r="M10" s="2">
        <f t="shared" si="0"/>
        <v>10768162</v>
      </c>
    </row>
    <row r="11" spans="2:13" x14ac:dyDescent="0.25">
      <c r="C11" s="1"/>
      <c r="D11" s="1"/>
      <c r="E11" s="1"/>
      <c r="F11" s="1"/>
      <c r="G11" s="2"/>
    </row>
    <row r="12" spans="2:13" x14ac:dyDescent="0.25">
      <c r="C12" s="1"/>
      <c r="D12" s="1"/>
      <c r="E12" s="1"/>
      <c r="F12" s="1"/>
      <c r="G12" s="2"/>
    </row>
    <row r="13" spans="2:13" x14ac:dyDescent="0.25">
      <c r="C13" s="1"/>
      <c r="D13" s="1"/>
      <c r="E13" s="1"/>
      <c r="F13" s="1"/>
      <c r="G13" s="2"/>
    </row>
    <row r="14" spans="2:13" x14ac:dyDescent="0.25">
      <c r="C14" s="1"/>
      <c r="D14" s="1"/>
      <c r="E14" s="1"/>
      <c r="F14" s="1"/>
      <c r="G14" s="2"/>
    </row>
    <row r="15" spans="2:13" x14ac:dyDescent="0.25">
      <c r="C15" s="1"/>
      <c r="D15" s="1"/>
      <c r="E15" s="1"/>
      <c r="F15" s="1"/>
      <c r="G15" s="2"/>
    </row>
    <row r="16" spans="2:13" x14ac:dyDescent="0.25">
      <c r="C16" s="1"/>
      <c r="D16" s="1"/>
      <c r="E16" s="1"/>
      <c r="F16" s="1"/>
      <c r="G16" s="2"/>
    </row>
    <row r="17" spans="3:13" x14ac:dyDescent="0.25">
      <c r="C17" s="1"/>
      <c r="D17" s="1"/>
      <c r="E17" s="1"/>
      <c r="F17" s="1"/>
      <c r="G17" s="2"/>
    </row>
    <row r="18" spans="3:13" x14ac:dyDescent="0.25">
      <c r="C18" s="1"/>
      <c r="D18" s="1"/>
      <c r="E18" s="1"/>
      <c r="F18" s="1"/>
      <c r="G18" s="2"/>
    </row>
    <row r="19" spans="3:13" x14ac:dyDescent="0.25">
      <c r="C19" s="1"/>
      <c r="D19" s="1"/>
      <c r="E19" s="1"/>
      <c r="F19" s="1"/>
      <c r="G19" s="2"/>
    </row>
    <row r="20" spans="3:13" x14ac:dyDescent="0.25">
      <c r="C20" s="1"/>
      <c r="D20" s="1"/>
      <c r="E20" s="1"/>
      <c r="F20" s="1"/>
      <c r="G20" s="1"/>
    </row>
    <row r="21" spans="3:13" x14ac:dyDescent="0.25">
      <c r="C21" s="1"/>
      <c r="D21" s="1"/>
      <c r="E21" s="1"/>
      <c r="F21" s="1"/>
      <c r="G21" s="1"/>
    </row>
    <row r="22" spans="3:13" x14ac:dyDescent="0.25">
      <c r="C22" s="1"/>
      <c r="D22" s="1" t="s">
        <v>8</v>
      </c>
      <c r="E22" s="2">
        <f>SUM(E4:E21)</f>
        <v>22238111</v>
      </c>
      <c r="F22" s="2">
        <f>SUM(F4:F21)</f>
        <v>1979049</v>
      </c>
      <c r="G22" s="2">
        <f>SUM(E22:F22)</f>
        <v>24217160</v>
      </c>
      <c r="J22" s="1"/>
      <c r="K22" s="2">
        <f>SUM(K4:K21)</f>
        <v>29676368</v>
      </c>
      <c r="L22" s="2">
        <f>SUM(L4:L21)</f>
        <v>2376611</v>
      </c>
      <c r="M22" s="2">
        <f>SUM(K22:L22)</f>
        <v>32052979</v>
      </c>
    </row>
    <row r="23" spans="3:13" x14ac:dyDescent="0.25">
      <c r="M2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23"/>
  <sheetViews>
    <sheetView workbookViewId="0">
      <selection activeCell="Q26" sqref="Q26"/>
    </sheetView>
  </sheetViews>
  <sheetFormatPr defaultRowHeight="15" x14ac:dyDescent="0.25"/>
  <cols>
    <col min="2" max="2" width="16.7109375" customWidth="1"/>
    <col min="3" max="3" width="9.140625" style="1"/>
    <col min="4" max="4" width="21.85546875" style="1" customWidth="1"/>
    <col min="5" max="5" width="14.5703125" style="1" customWidth="1"/>
    <col min="6" max="6" width="12.85546875" style="1" customWidth="1"/>
    <col min="7" max="7" width="11.7109375" style="1" customWidth="1"/>
    <col min="8" max="8" width="20.42578125" customWidth="1"/>
    <col min="9" max="9" width="9.42578125" style="1" customWidth="1"/>
    <col min="10" max="10" width="17.85546875" style="1" customWidth="1"/>
    <col min="11" max="11" width="15" style="1" customWidth="1"/>
    <col min="12" max="12" width="11.42578125" style="1" customWidth="1"/>
    <col min="13" max="13" width="12" style="1" customWidth="1"/>
  </cols>
  <sheetData>
    <row r="3" spans="2:13" x14ac:dyDescent="0.25">
      <c r="B3" t="s">
        <v>9</v>
      </c>
      <c r="C3" s="1" t="s">
        <v>0</v>
      </c>
      <c r="D3" s="1" t="s">
        <v>10</v>
      </c>
      <c r="E3" s="1" t="s">
        <v>2</v>
      </c>
      <c r="F3" s="1" t="s">
        <v>16</v>
      </c>
      <c r="G3" s="1" t="s">
        <v>17</v>
      </c>
      <c r="H3" s="1" t="s">
        <v>11</v>
      </c>
      <c r="I3" s="1" t="s">
        <v>0</v>
      </c>
      <c r="J3" s="1" t="s">
        <v>12</v>
      </c>
      <c r="K3" s="1" t="s">
        <v>1</v>
      </c>
      <c r="L3" s="1" t="s">
        <v>16</v>
      </c>
      <c r="M3" s="1" t="s">
        <v>18</v>
      </c>
    </row>
    <row r="4" spans="2:13" x14ac:dyDescent="0.25">
      <c r="C4" s="3">
        <v>45329</v>
      </c>
      <c r="D4" s="1" t="s">
        <v>3</v>
      </c>
      <c r="E4" s="2">
        <v>925926</v>
      </c>
      <c r="F4" s="2">
        <v>74074</v>
      </c>
      <c r="G4" s="2">
        <f t="shared" ref="G4:G9" si="0">SUM(E4:F4)</f>
        <v>1000000</v>
      </c>
      <c r="I4" s="3">
        <v>45327</v>
      </c>
      <c r="J4" s="1" t="s">
        <v>13</v>
      </c>
      <c r="K4" s="2">
        <v>555556</v>
      </c>
      <c r="L4" s="2">
        <v>44444</v>
      </c>
      <c r="M4" s="2">
        <f t="shared" ref="M4:M10" si="1">SUM(K4:L4)</f>
        <v>600000</v>
      </c>
    </row>
    <row r="5" spans="2:13" x14ac:dyDescent="0.25">
      <c r="C5" s="3">
        <v>45336</v>
      </c>
      <c r="D5" s="1" t="s">
        <v>4</v>
      </c>
      <c r="E5" s="2">
        <v>6886574</v>
      </c>
      <c r="F5" s="2">
        <v>550926</v>
      </c>
      <c r="G5" s="2">
        <f t="shared" si="0"/>
        <v>7437500</v>
      </c>
      <c r="I5" s="3">
        <v>45323</v>
      </c>
      <c r="J5" s="1" t="s">
        <v>14</v>
      </c>
      <c r="K5" s="2">
        <v>8285173</v>
      </c>
      <c r="L5" s="2">
        <v>662814</v>
      </c>
      <c r="M5" s="2">
        <f t="shared" si="1"/>
        <v>8947987</v>
      </c>
    </row>
    <row r="6" spans="2:13" x14ac:dyDescent="0.25">
      <c r="C6" s="3">
        <v>45337</v>
      </c>
      <c r="D6" s="1" t="s">
        <v>5</v>
      </c>
      <c r="E6" s="2">
        <v>7777778</v>
      </c>
      <c r="F6" s="2">
        <v>622222</v>
      </c>
      <c r="G6" s="2">
        <f t="shared" si="0"/>
        <v>8400000</v>
      </c>
      <c r="I6" s="3">
        <v>45326</v>
      </c>
      <c r="J6" s="1" t="s">
        <v>15</v>
      </c>
      <c r="K6" s="2">
        <v>20000</v>
      </c>
      <c r="L6" s="2">
        <v>2000</v>
      </c>
      <c r="M6" s="2">
        <f t="shared" si="1"/>
        <v>22000</v>
      </c>
    </row>
    <row r="7" spans="2:13" x14ac:dyDescent="0.25">
      <c r="C7" s="3">
        <v>45338</v>
      </c>
      <c r="D7" s="1" t="s">
        <v>6</v>
      </c>
      <c r="E7" s="2">
        <v>5555556</v>
      </c>
      <c r="F7" s="2">
        <v>444444</v>
      </c>
      <c r="G7" s="2">
        <f t="shared" si="0"/>
        <v>6000000</v>
      </c>
      <c r="I7" s="3">
        <v>45338</v>
      </c>
      <c r="J7" s="1" t="s">
        <v>19</v>
      </c>
      <c r="K7" s="2">
        <v>1232382</v>
      </c>
      <c r="L7" s="2">
        <v>67734</v>
      </c>
      <c r="M7" s="2">
        <f t="shared" si="1"/>
        <v>1300116</v>
      </c>
    </row>
    <row r="8" spans="2:13" x14ac:dyDescent="0.25">
      <c r="C8" s="3">
        <v>45342</v>
      </c>
      <c r="D8" s="1" t="s">
        <v>6</v>
      </c>
      <c r="E8" s="2">
        <v>1018519</v>
      </c>
      <c r="F8" s="2">
        <v>81481</v>
      </c>
      <c r="G8" s="2">
        <f t="shared" si="0"/>
        <v>1100000</v>
      </c>
      <c r="I8" s="3">
        <v>45348</v>
      </c>
      <c r="J8" s="1" t="s">
        <v>20</v>
      </c>
      <c r="K8" s="2">
        <v>1360000</v>
      </c>
      <c r="L8" s="2">
        <v>108800</v>
      </c>
      <c r="M8" s="2">
        <f t="shared" si="1"/>
        <v>1468800</v>
      </c>
    </row>
    <row r="9" spans="2:13" x14ac:dyDescent="0.25">
      <c r="C9" s="3">
        <v>45342</v>
      </c>
      <c r="D9" s="1" t="s">
        <v>7</v>
      </c>
      <c r="E9" s="2">
        <v>8119500</v>
      </c>
      <c r="F9" s="2">
        <v>649560</v>
      </c>
      <c r="G9" s="2">
        <f t="shared" si="0"/>
        <v>8769060</v>
      </c>
      <c r="I9" s="3">
        <v>45351</v>
      </c>
      <c r="J9" s="1" t="s">
        <v>24</v>
      </c>
      <c r="K9" s="2">
        <v>510455</v>
      </c>
      <c r="L9" s="2">
        <v>51046</v>
      </c>
      <c r="M9" s="2">
        <f t="shared" si="1"/>
        <v>561501</v>
      </c>
    </row>
    <row r="10" spans="2:13" x14ac:dyDescent="0.25">
      <c r="C10" s="3"/>
      <c r="E10" s="2"/>
      <c r="G10" s="2"/>
      <c r="I10" s="5">
        <v>47150</v>
      </c>
      <c r="J10" s="1" t="s">
        <v>116</v>
      </c>
      <c r="K10" s="2">
        <v>496350</v>
      </c>
      <c r="L10" s="2">
        <v>49635</v>
      </c>
      <c r="M10" s="2">
        <f t="shared" si="1"/>
        <v>545985</v>
      </c>
    </row>
    <row r="11" spans="2:13" x14ac:dyDescent="0.25">
      <c r="G11" s="2"/>
    </row>
    <row r="12" spans="2:13" x14ac:dyDescent="0.25">
      <c r="G12" s="2"/>
    </row>
    <row r="22" spans="4:13" x14ac:dyDescent="0.25">
      <c r="D22" s="1" t="s">
        <v>8</v>
      </c>
      <c r="E22" s="2">
        <f>SUM(E4:E20)</f>
        <v>30283853</v>
      </c>
      <c r="F22" s="2">
        <f>SUM(F4:F21)</f>
        <v>2422707</v>
      </c>
      <c r="G22" s="2">
        <f>SUM(G4:G21)</f>
        <v>32706560</v>
      </c>
      <c r="J22" s="1" t="s">
        <v>8</v>
      </c>
      <c r="K22" s="2">
        <f>SUM(K4:K21)</f>
        <v>12459916</v>
      </c>
      <c r="L22" s="2">
        <f>SUM(L4:L21)</f>
        <v>986473</v>
      </c>
      <c r="M22" s="2">
        <f>SUM(M4:M21)</f>
        <v>13446389</v>
      </c>
    </row>
    <row r="23" spans="4:13" x14ac:dyDescent="0.25">
      <c r="G23" s="2"/>
      <c r="M2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22"/>
  <sheetViews>
    <sheetView workbookViewId="0">
      <selection activeCell="H32" sqref="H32"/>
    </sheetView>
  </sheetViews>
  <sheetFormatPr defaultRowHeight="15" x14ac:dyDescent="0.25"/>
  <cols>
    <col min="2" max="2" width="15.85546875" customWidth="1"/>
    <col min="3" max="3" width="11.7109375" customWidth="1"/>
    <col min="4" max="4" width="23.5703125" customWidth="1"/>
    <col min="5" max="5" width="14.28515625" customWidth="1"/>
    <col min="6" max="6" width="13" customWidth="1"/>
    <col min="7" max="7" width="11" customWidth="1"/>
    <col min="8" max="8" width="20.140625" customWidth="1"/>
    <col min="9" max="9" width="9.7109375" customWidth="1"/>
    <col min="10" max="10" width="22.42578125" customWidth="1"/>
    <col min="11" max="11" width="11.7109375" customWidth="1"/>
    <col min="12" max="12" width="12.28515625" customWidth="1"/>
    <col min="13" max="13" width="11.42578125" customWidth="1"/>
  </cols>
  <sheetData>
    <row r="3" spans="2:13" x14ac:dyDescent="0.25">
      <c r="B3" t="s">
        <v>9</v>
      </c>
      <c r="C3" s="1" t="s">
        <v>0</v>
      </c>
      <c r="D3" s="1" t="s">
        <v>10</v>
      </c>
      <c r="E3" s="1" t="s">
        <v>2</v>
      </c>
      <c r="F3" s="1" t="s">
        <v>16</v>
      </c>
      <c r="G3" s="1" t="s">
        <v>17</v>
      </c>
      <c r="H3" s="1" t="s">
        <v>11</v>
      </c>
      <c r="I3" s="1" t="s">
        <v>0</v>
      </c>
      <c r="J3" s="1" t="s">
        <v>12</v>
      </c>
      <c r="K3" s="1" t="s">
        <v>1</v>
      </c>
      <c r="L3" s="1" t="s">
        <v>16</v>
      </c>
      <c r="M3" s="1" t="s">
        <v>18</v>
      </c>
    </row>
    <row r="4" spans="2:13" x14ac:dyDescent="0.25">
      <c r="C4" s="3">
        <v>45352</v>
      </c>
      <c r="D4" s="1" t="s">
        <v>21</v>
      </c>
      <c r="E4" s="2">
        <v>555556</v>
      </c>
      <c r="F4" s="2">
        <v>44444</v>
      </c>
      <c r="G4" s="2">
        <f>SUM(E4:F4)</f>
        <v>600000</v>
      </c>
      <c r="I4" s="3">
        <v>45355</v>
      </c>
      <c r="J4" s="1" t="s">
        <v>22</v>
      </c>
      <c r="K4" s="2">
        <v>22869</v>
      </c>
      <c r="L4" s="2">
        <v>2287</v>
      </c>
      <c r="M4" s="2">
        <f>SUM(K4:L4)</f>
        <v>25156</v>
      </c>
    </row>
    <row r="5" spans="2:13" x14ac:dyDescent="0.25">
      <c r="C5" s="3">
        <v>45357</v>
      </c>
      <c r="D5" s="1" t="s">
        <v>21</v>
      </c>
      <c r="E5" s="2">
        <v>2037037</v>
      </c>
      <c r="F5" s="2">
        <v>162963</v>
      </c>
      <c r="G5" s="2">
        <f t="shared" ref="G5:G14" si="0">SUM(E5:F5)</f>
        <v>2200000</v>
      </c>
      <c r="I5" s="3">
        <v>45353</v>
      </c>
      <c r="J5" s="1" t="s">
        <v>23</v>
      </c>
      <c r="K5" s="2">
        <v>7678385</v>
      </c>
      <c r="L5" s="2">
        <v>614271</v>
      </c>
      <c r="M5" s="2">
        <f t="shared" ref="M5:M10" si="1">SUM(K5:L5)</f>
        <v>8292656</v>
      </c>
    </row>
    <row r="6" spans="2:13" x14ac:dyDescent="0.25">
      <c r="C6" s="3">
        <v>45362</v>
      </c>
      <c r="D6" s="1" t="s">
        <v>25</v>
      </c>
      <c r="E6" s="2">
        <v>3703704</v>
      </c>
      <c r="F6" s="2">
        <v>296296</v>
      </c>
      <c r="G6" s="2">
        <f t="shared" si="0"/>
        <v>4000000</v>
      </c>
      <c r="I6" s="3">
        <v>45364</v>
      </c>
      <c r="J6" s="1" t="s">
        <v>26</v>
      </c>
      <c r="K6" s="2">
        <v>920000</v>
      </c>
      <c r="L6" s="2">
        <v>92000</v>
      </c>
      <c r="M6" s="2">
        <f t="shared" si="1"/>
        <v>1012000</v>
      </c>
    </row>
    <row r="7" spans="2:13" x14ac:dyDescent="0.25">
      <c r="C7" s="3">
        <v>45368</v>
      </c>
      <c r="D7" s="1" t="s">
        <v>21</v>
      </c>
      <c r="E7" s="2">
        <v>2777779</v>
      </c>
      <c r="F7" s="2">
        <v>222221</v>
      </c>
      <c r="G7" s="2">
        <f t="shared" si="0"/>
        <v>3000000</v>
      </c>
      <c r="I7" s="3">
        <v>45360</v>
      </c>
      <c r="J7" s="1" t="s">
        <v>27</v>
      </c>
      <c r="K7" s="2">
        <v>1093739</v>
      </c>
      <c r="L7" s="2">
        <v>60114</v>
      </c>
      <c r="M7" s="2">
        <f t="shared" si="1"/>
        <v>1153853</v>
      </c>
    </row>
    <row r="8" spans="2:13" x14ac:dyDescent="0.25">
      <c r="C8" s="3">
        <v>45373</v>
      </c>
      <c r="D8" s="1" t="s">
        <v>7</v>
      </c>
      <c r="E8" s="2">
        <v>8581500</v>
      </c>
      <c r="F8" s="2">
        <v>686520</v>
      </c>
      <c r="G8" s="2">
        <f t="shared" si="0"/>
        <v>9268020</v>
      </c>
      <c r="I8" s="3">
        <v>45371</v>
      </c>
      <c r="J8" s="1" t="s">
        <v>28</v>
      </c>
      <c r="K8" s="2">
        <v>2800000</v>
      </c>
      <c r="L8" s="2">
        <v>280000</v>
      </c>
      <c r="M8" s="2">
        <f t="shared" si="1"/>
        <v>3080000</v>
      </c>
    </row>
    <row r="9" spans="2:13" x14ac:dyDescent="0.25">
      <c r="C9" s="3">
        <v>45377</v>
      </c>
      <c r="D9" s="1" t="s">
        <v>30</v>
      </c>
      <c r="E9" s="2">
        <v>416667</v>
      </c>
      <c r="F9" s="2">
        <v>33333</v>
      </c>
      <c r="G9" s="2">
        <f t="shared" si="0"/>
        <v>450000</v>
      </c>
      <c r="I9" s="3">
        <v>45376</v>
      </c>
      <c r="J9" s="1" t="s">
        <v>29</v>
      </c>
      <c r="K9" s="2">
        <v>10694444</v>
      </c>
      <c r="L9" s="2">
        <v>855556</v>
      </c>
      <c r="M9" s="2">
        <f t="shared" si="1"/>
        <v>11550000</v>
      </c>
    </row>
    <row r="10" spans="2:13" x14ac:dyDescent="0.25">
      <c r="C10" s="3">
        <v>45377</v>
      </c>
      <c r="D10" s="1" t="s">
        <v>31</v>
      </c>
      <c r="E10" s="2">
        <v>648148</v>
      </c>
      <c r="F10" s="2">
        <v>51852</v>
      </c>
      <c r="G10" s="2">
        <f t="shared" si="0"/>
        <v>700000</v>
      </c>
      <c r="I10" s="3">
        <v>45378</v>
      </c>
      <c r="J10" s="1" t="s">
        <v>33</v>
      </c>
      <c r="K10" s="2">
        <v>2054000</v>
      </c>
      <c r="L10" s="2">
        <v>164320</v>
      </c>
      <c r="M10" s="2">
        <f t="shared" si="1"/>
        <v>2218320</v>
      </c>
    </row>
    <row r="11" spans="2:13" x14ac:dyDescent="0.25">
      <c r="C11" s="3">
        <v>45377</v>
      </c>
      <c r="D11" s="1" t="s">
        <v>32</v>
      </c>
      <c r="E11" s="2">
        <v>2500000</v>
      </c>
      <c r="F11" s="2">
        <v>200000</v>
      </c>
      <c r="G11" s="2">
        <f t="shared" si="0"/>
        <v>2700000</v>
      </c>
      <c r="I11" s="3">
        <v>45381</v>
      </c>
      <c r="J11" s="1" t="s">
        <v>43</v>
      </c>
      <c r="K11" s="2">
        <v>1447660</v>
      </c>
      <c r="L11" s="2">
        <v>123340</v>
      </c>
      <c r="M11" s="2">
        <f>SUM(K11:L11)</f>
        <v>1571000</v>
      </c>
    </row>
    <row r="12" spans="2:13" x14ac:dyDescent="0.25">
      <c r="C12" s="3">
        <v>45378</v>
      </c>
      <c r="D12" s="1" t="s">
        <v>4</v>
      </c>
      <c r="E12" s="2">
        <v>1111111</v>
      </c>
      <c r="F12" s="2">
        <v>88889</v>
      </c>
      <c r="G12" s="2">
        <f t="shared" si="0"/>
        <v>1200000</v>
      </c>
      <c r="I12" s="3">
        <v>45381</v>
      </c>
      <c r="J12" s="1" t="s">
        <v>44</v>
      </c>
      <c r="K12" s="2">
        <v>40694</v>
      </c>
      <c r="L12" s="2">
        <v>4069</v>
      </c>
      <c r="M12" s="2">
        <f>SUM(K12:L12)</f>
        <v>44763</v>
      </c>
    </row>
    <row r="13" spans="2:13" x14ac:dyDescent="0.25">
      <c r="C13" s="3">
        <v>45381</v>
      </c>
      <c r="D13" s="1" t="s">
        <v>42</v>
      </c>
      <c r="E13" s="2">
        <v>1018518</v>
      </c>
      <c r="F13" s="2">
        <v>81482</v>
      </c>
      <c r="G13" s="2">
        <f t="shared" si="0"/>
        <v>1100000</v>
      </c>
      <c r="I13" s="3">
        <v>45382</v>
      </c>
      <c r="J13" s="1" t="s">
        <v>50</v>
      </c>
      <c r="K13" s="2">
        <v>510455</v>
      </c>
      <c r="L13" s="2">
        <v>51046</v>
      </c>
      <c r="M13" s="2">
        <f>SUM(K13:L13)</f>
        <v>561501</v>
      </c>
    </row>
    <row r="14" spans="2:13" x14ac:dyDescent="0.25">
      <c r="C14" s="3">
        <v>45382</v>
      </c>
      <c r="D14" s="1" t="s">
        <v>45</v>
      </c>
      <c r="E14" s="2">
        <v>277778</v>
      </c>
      <c r="F14" s="2">
        <v>22222</v>
      </c>
      <c r="G14" s="2">
        <f t="shared" si="0"/>
        <v>300000</v>
      </c>
      <c r="I14" s="1"/>
      <c r="J14" s="1"/>
      <c r="K14" s="1"/>
      <c r="L14" s="1"/>
      <c r="M14" s="2"/>
    </row>
    <row r="15" spans="2:13" x14ac:dyDescent="0.25">
      <c r="C15" s="1"/>
      <c r="D15" s="1"/>
      <c r="E15" s="1"/>
      <c r="F15" s="1"/>
      <c r="G15" s="2"/>
      <c r="I15" s="1"/>
      <c r="J15" s="1"/>
      <c r="K15" s="1"/>
      <c r="L15" s="1"/>
      <c r="M15" s="2"/>
    </row>
    <row r="16" spans="2:13" x14ac:dyDescent="0.25">
      <c r="C16" s="1"/>
      <c r="D16" s="1"/>
      <c r="E16" s="1"/>
      <c r="F16" s="1"/>
      <c r="G16" s="2"/>
      <c r="I16" s="1"/>
      <c r="J16" s="1"/>
      <c r="K16" s="1"/>
      <c r="L16" s="1"/>
      <c r="M16" s="2"/>
    </row>
    <row r="17" spans="3:13" x14ac:dyDescent="0.25">
      <c r="C17" s="1"/>
      <c r="D17" s="1"/>
      <c r="E17" s="1"/>
      <c r="F17" s="1"/>
      <c r="G17" s="2"/>
      <c r="I17" s="1"/>
      <c r="J17" s="1"/>
      <c r="K17" s="1"/>
      <c r="L17" s="1"/>
      <c r="M17" s="2"/>
    </row>
    <row r="18" spans="3:13" x14ac:dyDescent="0.25">
      <c r="C18" s="1"/>
      <c r="D18" s="1"/>
      <c r="E18" s="1"/>
      <c r="F18" s="1"/>
      <c r="G18" s="2"/>
      <c r="I18" s="1"/>
      <c r="J18" s="1"/>
      <c r="K18" s="1"/>
      <c r="L18" s="1"/>
      <c r="M18" s="2"/>
    </row>
    <row r="19" spans="3:13" x14ac:dyDescent="0.25">
      <c r="C19" s="1"/>
      <c r="D19" s="1"/>
      <c r="E19" s="1"/>
      <c r="F19" s="1"/>
      <c r="G19" s="2"/>
      <c r="I19" s="1"/>
      <c r="J19" s="1"/>
      <c r="K19" s="1"/>
      <c r="L19" s="1"/>
      <c r="M19" s="2"/>
    </row>
    <row r="20" spans="3:13" x14ac:dyDescent="0.25">
      <c r="C20" s="1"/>
      <c r="D20" s="1"/>
      <c r="E20" s="1"/>
      <c r="F20" s="1"/>
      <c r="G20" s="1"/>
      <c r="I20" s="1"/>
      <c r="J20" s="1"/>
      <c r="K20" s="1"/>
      <c r="L20" s="1"/>
      <c r="M20" s="1"/>
    </row>
    <row r="21" spans="3:13" x14ac:dyDescent="0.25">
      <c r="C21" s="1"/>
      <c r="D21" s="1"/>
      <c r="E21" s="1"/>
      <c r="F21" s="1"/>
      <c r="G21" s="1"/>
      <c r="I21" s="1"/>
      <c r="J21" s="1"/>
      <c r="K21" s="1"/>
      <c r="L21" s="1"/>
      <c r="M21" s="1"/>
    </row>
    <row r="22" spans="3:13" x14ac:dyDescent="0.25">
      <c r="C22" s="1"/>
      <c r="D22" s="1" t="s">
        <v>8</v>
      </c>
      <c r="E22" s="2">
        <f>SUM(E4:E20)</f>
        <v>23627798</v>
      </c>
      <c r="F22" s="2">
        <f>SUM(F4:F21)</f>
        <v>1890222</v>
      </c>
      <c r="G22" s="2">
        <f>SUM(G4:G21)</f>
        <v>25518020</v>
      </c>
      <c r="I22" s="1"/>
      <c r="J22" s="1" t="s">
        <v>8</v>
      </c>
      <c r="K22" s="2">
        <f>SUM(K4:K21)</f>
        <v>27262246</v>
      </c>
      <c r="L22" s="2">
        <f>SUM(L4:L21)</f>
        <v>2247003</v>
      </c>
      <c r="M22" s="2">
        <f>SUM(M4:M21)</f>
        <v>29509249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22"/>
  <sheetViews>
    <sheetView workbookViewId="0">
      <selection activeCell="J9" sqref="J9"/>
    </sheetView>
  </sheetViews>
  <sheetFormatPr defaultRowHeight="15" x14ac:dyDescent="0.25"/>
  <cols>
    <col min="2" max="2" width="20" customWidth="1"/>
    <col min="3" max="3" width="12.7109375" customWidth="1"/>
    <col min="4" max="5" width="14.7109375" customWidth="1"/>
    <col min="6" max="6" width="13.7109375" customWidth="1"/>
    <col min="7" max="7" width="13.28515625" customWidth="1"/>
    <col min="8" max="8" width="21.42578125" customWidth="1"/>
    <col min="10" max="10" width="21.42578125" customWidth="1"/>
    <col min="11" max="11" width="13.5703125" customWidth="1"/>
    <col min="12" max="12" width="14" customWidth="1"/>
    <col min="13" max="13" width="12.85546875" customWidth="1"/>
  </cols>
  <sheetData>
    <row r="3" spans="2:13" x14ac:dyDescent="0.25">
      <c r="B3" s="1" t="s">
        <v>9</v>
      </c>
      <c r="C3" s="1" t="s">
        <v>0</v>
      </c>
      <c r="D3" s="1" t="s">
        <v>10</v>
      </c>
      <c r="E3" s="1" t="s">
        <v>2</v>
      </c>
      <c r="F3" s="1" t="s">
        <v>16</v>
      </c>
      <c r="G3" s="1" t="s">
        <v>17</v>
      </c>
      <c r="H3" s="1" t="s">
        <v>11</v>
      </c>
      <c r="I3" s="1" t="s">
        <v>0</v>
      </c>
      <c r="J3" s="1" t="s">
        <v>12</v>
      </c>
      <c r="K3" s="1" t="s">
        <v>1</v>
      </c>
      <c r="L3" s="1" t="s">
        <v>16</v>
      </c>
      <c r="M3" s="1" t="s">
        <v>18</v>
      </c>
    </row>
    <row r="4" spans="2:13" x14ac:dyDescent="0.25">
      <c r="C4" s="3">
        <v>45386</v>
      </c>
      <c r="D4" s="1" t="s">
        <v>46</v>
      </c>
      <c r="E4" s="2">
        <v>509259</v>
      </c>
      <c r="F4" s="2">
        <v>40741</v>
      </c>
      <c r="G4" s="2">
        <f>SUM(E4:F4)</f>
        <v>550000</v>
      </c>
      <c r="I4" s="3">
        <v>45383</v>
      </c>
      <c r="J4" s="1" t="s">
        <v>23</v>
      </c>
      <c r="K4" s="2">
        <v>11062863</v>
      </c>
      <c r="L4" s="2">
        <v>885029</v>
      </c>
      <c r="M4" s="2">
        <f>SUM(K4:L4)</f>
        <v>11947892</v>
      </c>
    </row>
    <row r="5" spans="2:13" x14ac:dyDescent="0.25">
      <c r="C5" s="3">
        <v>45392</v>
      </c>
      <c r="D5" s="1" t="s">
        <v>48</v>
      </c>
      <c r="E5" s="2">
        <v>1388889</v>
      </c>
      <c r="F5" s="2">
        <v>111111</v>
      </c>
      <c r="G5" s="2">
        <f>SUM(E5:F5)</f>
        <v>1500000</v>
      </c>
      <c r="I5" s="3">
        <v>45386</v>
      </c>
      <c r="J5" s="1" t="s">
        <v>15</v>
      </c>
      <c r="K5" s="2">
        <v>20000</v>
      </c>
      <c r="L5" s="2">
        <v>2000</v>
      </c>
      <c r="M5" s="2">
        <f t="shared" ref="M5:M14" si="0">SUM(K5:L5)</f>
        <v>22000</v>
      </c>
    </row>
    <row r="6" spans="2:13" x14ac:dyDescent="0.25">
      <c r="C6" s="3">
        <v>45396</v>
      </c>
      <c r="D6" s="1" t="s">
        <v>51</v>
      </c>
      <c r="E6" s="2">
        <v>6944444</v>
      </c>
      <c r="F6" s="2">
        <v>555556</v>
      </c>
      <c r="G6" s="2">
        <f>SUM(E6:F6)</f>
        <v>7500000</v>
      </c>
      <c r="I6" s="3">
        <v>45389</v>
      </c>
      <c r="J6" s="1" t="s">
        <v>47</v>
      </c>
      <c r="K6" s="2">
        <v>420000</v>
      </c>
      <c r="L6" s="2">
        <v>42000</v>
      </c>
      <c r="M6" s="2">
        <f t="shared" si="0"/>
        <v>462000</v>
      </c>
    </row>
    <row r="7" spans="2:13" x14ac:dyDescent="0.25">
      <c r="C7" s="3">
        <v>45402</v>
      </c>
      <c r="D7" s="1" t="s">
        <v>6</v>
      </c>
      <c r="E7" s="2">
        <v>2685185</v>
      </c>
      <c r="F7" s="2">
        <v>214815</v>
      </c>
      <c r="G7" s="2">
        <f t="shared" ref="G7:G12" si="1">SUM(E7:F7)</f>
        <v>2900000</v>
      </c>
      <c r="I7" s="3">
        <v>45389</v>
      </c>
      <c r="J7" s="1" t="s">
        <v>33</v>
      </c>
      <c r="K7" s="2">
        <v>2289000</v>
      </c>
      <c r="L7" s="2">
        <v>183120</v>
      </c>
      <c r="M7" s="2">
        <f t="shared" si="0"/>
        <v>2472120</v>
      </c>
    </row>
    <row r="8" spans="2:13" x14ac:dyDescent="0.25">
      <c r="C8" s="3">
        <v>45402</v>
      </c>
      <c r="D8" s="1" t="s">
        <v>6</v>
      </c>
      <c r="E8" s="2">
        <v>555556</v>
      </c>
      <c r="F8" s="2">
        <v>44444</v>
      </c>
      <c r="G8" s="2">
        <f t="shared" si="1"/>
        <v>600000</v>
      </c>
      <c r="I8" s="3">
        <v>45391</v>
      </c>
      <c r="J8" s="1" t="s">
        <v>49</v>
      </c>
      <c r="K8" s="2">
        <v>2462963</v>
      </c>
      <c r="L8" s="2">
        <v>197037</v>
      </c>
      <c r="M8" s="2">
        <f t="shared" si="0"/>
        <v>2660000</v>
      </c>
    </row>
    <row r="9" spans="2:13" x14ac:dyDescent="0.25">
      <c r="C9" s="3">
        <v>45403</v>
      </c>
      <c r="D9" s="1" t="s">
        <v>52</v>
      </c>
      <c r="E9" s="2">
        <v>8872000</v>
      </c>
      <c r="F9" s="2">
        <v>709760</v>
      </c>
      <c r="G9" s="2">
        <f t="shared" si="1"/>
        <v>9581760</v>
      </c>
      <c r="I9" s="3">
        <v>45391</v>
      </c>
      <c r="J9" s="1" t="s">
        <v>27</v>
      </c>
      <c r="K9" s="2">
        <v>1386430</v>
      </c>
      <c r="L9" s="2">
        <v>76200</v>
      </c>
      <c r="M9" s="2">
        <f t="shared" si="0"/>
        <v>1462630</v>
      </c>
    </row>
    <row r="10" spans="2:13" x14ac:dyDescent="0.25">
      <c r="C10" s="3">
        <v>45412</v>
      </c>
      <c r="D10" s="1" t="s">
        <v>6</v>
      </c>
      <c r="E10" s="2">
        <v>4722221</v>
      </c>
      <c r="F10" s="2">
        <v>377779</v>
      </c>
      <c r="G10" s="2">
        <f t="shared" si="1"/>
        <v>5100000</v>
      </c>
      <c r="I10" s="3">
        <v>45387</v>
      </c>
      <c r="J10" s="1" t="s">
        <v>53</v>
      </c>
      <c r="K10" s="2">
        <v>240909</v>
      </c>
      <c r="L10" s="2">
        <v>19273</v>
      </c>
      <c r="M10" s="2">
        <f t="shared" si="0"/>
        <v>260182</v>
      </c>
    </row>
    <row r="11" spans="2:13" x14ac:dyDescent="0.25">
      <c r="C11" s="3">
        <v>45412</v>
      </c>
      <c r="D11" s="1" t="s">
        <v>6</v>
      </c>
      <c r="E11" s="2">
        <v>2222220</v>
      </c>
      <c r="F11" s="2">
        <v>177780</v>
      </c>
      <c r="G11" s="2">
        <f t="shared" si="1"/>
        <v>2400000</v>
      </c>
      <c r="I11" s="3">
        <v>45411</v>
      </c>
      <c r="J11" s="1" t="s">
        <v>58</v>
      </c>
      <c r="K11" s="2">
        <v>89742</v>
      </c>
      <c r="L11" s="2">
        <v>8974</v>
      </c>
      <c r="M11" s="2">
        <f t="shared" si="0"/>
        <v>98716</v>
      </c>
    </row>
    <row r="12" spans="2:13" x14ac:dyDescent="0.25">
      <c r="C12" s="3">
        <v>45412</v>
      </c>
      <c r="D12" s="1" t="s">
        <v>6</v>
      </c>
      <c r="E12" s="2">
        <v>5555557</v>
      </c>
      <c r="F12" s="2">
        <v>444443</v>
      </c>
      <c r="G12" s="2">
        <f t="shared" si="1"/>
        <v>6000000</v>
      </c>
      <c r="I12" s="3">
        <v>45411</v>
      </c>
      <c r="J12" s="1" t="s">
        <v>59</v>
      </c>
      <c r="K12" s="2">
        <v>731481</v>
      </c>
      <c r="L12" s="2">
        <v>58519</v>
      </c>
      <c r="M12" s="2">
        <f t="shared" si="0"/>
        <v>790000</v>
      </c>
    </row>
    <row r="13" spans="2:13" x14ac:dyDescent="0.25">
      <c r="C13" s="1"/>
      <c r="D13" s="1"/>
      <c r="E13" s="1"/>
      <c r="F13" s="1"/>
      <c r="G13" s="2"/>
      <c r="I13" s="3">
        <v>45409</v>
      </c>
      <c r="J13" s="1" t="s">
        <v>60</v>
      </c>
      <c r="K13" s="2">
        <v>902778</v>
      </c>
      <c r="L13" s="2">
        <v>72222</v>
      </c>
      <c r="M13" s="2">
        <f t="shared" si="0"/>
        <v>975000</v>
      </c>
    </row>
    <row r="14" spans="2:13" x14ac:dyDescent="0.25">
      <c r="C14" s="1"/>
      <c r="D14" s="1"/>
      <c r="E14" s="1"/>
      <c r="F14" s="1"/>
      <c r="G14" s="2"/>
      <c r="I14" s="3">
        <v>45412</v>
      </c>
      <c r="J14" s="1" t="s">
        <v>40</v>
      </c>
      <c r="K14" s="2">
        <v>510455</v>
      </c>
      <c r="L14" s="2">
        <v>51046</v>
      </c>
      <c r="M14" s="2">
        <f t="shared" si="0"/>
        <v>561501</v>
      </c>
    </row>
    <row r="15" spans="2:13" x14ac:dyDescent="0.25">
      <c r="C15" s="1"/>
      <c r="D15" s="1"/>
      <c r="E15" s="1"/>
      <c r="F15" s="1"/>
      <c r="G15" s="2"/>
      <c r="I15" s="1"/>
      <c r="J15" s="1"/>
      <c r="K15" s="1"/>
      <c r="L15" s="1"/>
      <c r="M15" s="2"/>
    </row>
    <row r="16" spans="2:13" x14ac:dyDescent="0.25">
      <c r="C16" s="1"/>
      <c r="D16" s="1"/>
      <c r="E16" s="1"/>
      <c r="F16" s="1"/>
      <c r="G16" s="2"/>
      <c r="I16" s="1"/>
      <c r="J16" s="1"/>
      <c r="K16" s="1"/>
      <c r="L16" s="1"/>
      <c r="M16" s="2"/>
    </row>
    <row r="17" spans="3:13" x14ac:dyDescent="0.25">
      <c r="C17" s="1"/>
      <c r="D17" s="1"/>
      <c r="E17" s="1"/>
      <c r="F17" s="1"/>
      <c r="G17" s="2"/>
      <c r="I17" s="1"/>
      <c r="J17" s="1"/>
      <c r="K17" s="1"/>
      <c r="L17" s="1"/>
      <c r="M17" s="2"/>
    </row>
    <row r="18" spans="3:13" x14ac:dyDescent="0.25">
      <c r="C18" s="1"/>
      <c r="D18" s="1"/>
      <c r="E18" s="1"/>
      <c r="F18" s="1"/>
      <c r="G18" s="2"/>
      <c r="I18" s="1"/>
      <c r="J18" s="1"/>
      <c r="K18" s="1"/>
      <c r="L18" s="1"/>
      <c r="M18" s="2"/>
    </row>
    <row r="19" spans="3:13" x14ac:dyDescent="0.25">
      <c r="C19" s="1"/>
      <c r="D19" s="1"/>
      <c r="E19" s="1"/>
      <c r="F19" s="1"/>
      <c r="G19" s="1"/>
      <c r="I19" s="1"/>
      <c r="J19" s="1"/>
      <c r="K19" s="1"/>
      <c r="L19" s="1"/>
      <c r="M19" s="2"/>
    </row>
    <row r="20" spans="3:13" x14ac:dyDescent="0.25">
      <c r="C20" s="1"/>
      <c r="D20" s="1"/>
      <c r="E20" s="1"/>
      <c r="F20" s="1"/>
      <c r="G20" s="1"/>
      <c r="I20" s="1"/>
      <c r="J20" s="1"/>
      <c r="K20" s="1"/>
      <c r="L20" s="1"/>
      <c r="M20" s="2"/>
    </row>
    <row r="21" spans="3:13" x14ac:dyDescent="0.25">
      <c r="C21" s="1"/>
      <c r="D21" s="1"/>
      <c r="E21" s="1"/>
      <c r="F21" s="1"/>
      <c r="G21" s="1"/>
      <c r="I21" s="1"/>
      <c r="J21" s="1"/>
      <c r="K21" s="1"/>
      <c r="L21" s="1"/>
      <c r="M21" s="2"/>
    </row>
    <row r="22" spans="3:13" x14ac:dyDescent="0.25">
      <c r="C22" s="1"/>
      <c r="D22" s="1" t="s">
        <v>8</v>
      </c>
      <c r="E22" s="2">
        <f>SUM(E4:E20)</f>
        <v>33455331</v>
      </c>
      <c r="F22" s="2">
        <f>SUM(F4:F21)</f>
        <v>2676429</v>
      </c>
      <c r="G22" s="2">
        <f>SUM(G4:G21)</f>
        <v>36131760</v>
      </c>
      <c r="I22" s="1"/>
      <c r="J22" s="1" t="s">
        <v>8</v>
      </c>
      <c r="K22" s="2">
        <f>SUM(K4:K21)</f>
        <v>20116621</v>
      </c>
      <c r="L22" s="2">
        <f>SUM(L4:L21)</f>
        <v>1595420</v>
      </c>
      <c r="M22" s="2">
        <f>SUM(M4:M21)</f>
        <v>21712041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22"/>
  <sheetViews>
    <sheetView workbookViewId="0">
      <selection activeCell="J16" sqref="J16"/>
    </sheetView>
  </sheetViews>
  <sheetFormatPr defaultRowHeight="15" x14ac:dyDescent="0.25"/>
  <cols>
    <col min="2" max="2" width="16.85546875" customWidth="1"/>
    <col min="3" max="3" width="10" customWidth="1"/>
    <col min="4" max="4" width="27.85546875" customWidth="1"/>
    <col min="5" max="5" width="12.42578125" customWidth="1"/>
    <col min="6" max="6" width="10.85546875" customWidth="1"/>
    <col min="7" max="7" width="11.5703125" customWidth="1"/>
    <col min="8" max="8" width="21.28515625" customWidth="1"/>
    <col min="10" max="10" width="19.28515625" customWidth="1"/>
    <col min="11" max="11" width="13.140625" customWidth="1"/>
    <col min="12" max="12" width="10.7109375" customWidth="1"/>
    <col min="13" max="13" width="12.7109375" customWidth="1"/>
  </cols>
  <sheetData>
    <row r="3" spans="2:13" x14ac:dyDescent="0.25">
      <c r="B3" s="1" t="s">
        <v>9</v>
      </c>
      <c r="C3" s="1" t="s">
        <v>0</v>
      </c>
      <c r="D3" s="1" t="s">
        <v>10</v>
      </c>
      <c r="E3" s="1" t="s">
        <v>2</v>
      </c>
      <c r="F3" s="1" t="s">
        <v>16</v>
      </c>
      <c r="G3" s="1" t="s">
        <v>17</v>
      </c>
      <c r="H3" s="1" t="s">
        <v>11</v>
      </c>
      <c r="I3" s="1" t="s">
        <v>0</v>
      </c>
      <c r="J3" s="1" t="s">
        <v>12</v>
      </c>
      <c r="K3" s="1" t="s">
        <v>1</v>
      </c>
      <c r="L3" s="1" t="s">
        <v>16</v>
      </c>
      <c r="M3" s="1" t="s">
        <v>18</v>
      </c>
    </row>
    <row r="4" spans="2:13" x14ac:dyDescent="0.25">
      <c r="C4" s="3">
        <v>45419</v>
      </c>
      <c r="D4" s="1" t="s">
        <v>57</v>
      </c>
      <c r="E4" s="2">
        <v>925926</v>
      </c>
      <c r="F4" s="2">
        <v>74074</v>
      </c>
      <c r="G4" s="2">
        <f t="shared" ref="G4:G9" si="0">SUM(E4:F4)</f>
        <v>1000000</v>
      </c>
      <c r="I4" s="3">
        <v>45414</v>
      </c>
      <c r="J4" s="1" t="s">
        <v>54</v>
      </c>
      <c r="K4" s="2">
        <v>2400000</v>
      </c>
      <c r="L4" s="2">
        <v>240000</v>
      </c>
      <c r="M4" s="2">
        <f t="shared" ref="M4:M17" si="1">SUM(K4:L4)</f>
        <v>2640000</v>
      </c>
    </row>
    <row r="5" spans="2:13" x14ac:dyDescent="0.25">
      <c r="C5" s="3">
        <v>45432</v>
      </c>
      <c r="D5" s="1" t="s">
        <v>7</v>
      </c>
      <c r="E5" s="2">
        <v>9281500</v>
      </c>
      <c r="F5" s="2">
        <v>742520</v>
      </c>
      <c r="G5" s="2">
        <f t="shared" si="0"/>
        <v>10024020</v>
      </c>
      <c r="I5" s="3">
        <v>45415</v>
      </c>
      <c r="J5" s="1" t="s">
        <v>55</v>
      </c>
      <c r="K5" s="2">
        <v>14621225</v>
      </c>
      <c r="L5" s="2">
        <v>1169698</v>
      </c>
      <c r="M5" s="2">
        <f t="shared" si="1"/>
        <v>15790923</v>
      </c>
    </row>
    <row r="6" spans="2:13" x14ac:dyDescent="0.25">
      <c r="C6" s="3">
        <v>45432</v>
      </c>
      <c r="D6" s="1" t="s">
        <v>6</v>
      </c>
      <c r="E6" s="2">
        <v>1388889</v>
      </c>
      <c r="F6" s="2">
        <v>111111</v>
      </c>
      <c r="G6" s="2">
        <f t="shared" si="0"/>
        <v>1500000</v>
      </c>
      <c r="I6" s="3">
        <v>45416</v>
      </c>
      <c r="J6" s="1" t="s">
        <v>56</v>
      </c>
      <c r="K6" s="2">
        <v>26537</v>
      </c>
      <c r="L6" s="2">
        <v>2654</v>
      </c>
      <c r="M6" s="2">
        <f t="shared" si="1"/>
        <v>29191</v>
      </c>
    </row>
    <row r="7" spans="2:13" x14ac:dyDescent="0.25">
      <c r="C7" s="3">
        <v>45434</v>
      </c>
      <c r="D7" s="1" t="s">
        <v>66</v>
      </c>
      <c r="E7" s="2">
        <v>833333</v>
      </c>
      <c r="F7" s="2">
        <v>66667</v>
      </c>
      <c r="G7" s="2">
        <f t="shared" si="0"/>
        <v>900000</v>
      </c>
      <c r="I7" s="3">
        <v>45418</v>
      </c>
      <c r="J7" s="1" t="s">
        <v>61</v>
      </c>
      <c r="K7" s="2">
        <v>240909</v>
      </c>
      <c r="L7" s="2">
        <v>19273</v>
      </c>
      <c r="M7" s="2">
        <f t="shared" si="1"/>
        <v>260182</v>
      </c>
    </row>
    <row r="8" spans="2:13" x14ac:dyDescent="0.25">
      <c r="C8" s="3">
        <v>45436</v>
      </c>
      <c r="D8" s="1" t="s">
        <v>67</v>
      </c>
      <c r="E8" s="2">
        <v>6944444</v>
      </c>
      <c r="F8" s="2">
        <v>555556</v>
      </c>
      <c r="G8" s="2">
        <f t="shared" si="0"/>
        <v>7500000</v>
      </c>
      <c r="I8" s="3">
        <v>45427</v>
      </c>
      <c r="J8" s="1" t="s">
        <v>33</v>
      </c>
      <c r="K8" s="2">
        <v>1130760</v>
      </c>
      <c r="L8" s="2">
        <v>33000</v>
      </c>
      <c r="M8" s="2">
        <f t="shared" si="1"/>
        <v>1163760</v>
      </c>
    </row>
    <row r="9" spans="2:13" x14ac:dyDescent="0.25">
      <c r="C9" s="3">
        <v>45437</v>
      </c>
      <c r="D9" s="1" t="s">
        <v>68</v>
      </c>
      <c r="E9" s="2">
        <v>2314815</v>
      </c>
      <c r="F9" s="2">
        <v>185185</v>
      </c>
      <c r="G9" s="2">
        <f t="shared" si="0"/>
        <v>2500000</v>
      </c>
      <c r="I9" s="3">
        <v>45427</v>
      </c>
      <c r="J9" s="1" t="s">
        <v>62</v>
      </c>
      <c r="K9" s="2">
        <v>4547500</v>
      </c>
      <c r="L9" s="2">
        <v>454750</v>
      </c>
      <c r="M9" s="2">
        <f t="shared" si="1"/>
        <v>5002250</v>
      </c>
    </row>
    <row r="10" spans="2:13" x14ac:dyDescent="0.25">
      <c r="C10" s="3"/>
      <c r="D10" s="1"/>
      <c r="E10" s="2"/>
      <c r="F10" s="1"/>
      <c r="G10" s="2"/>
      <c r="I10" s="3">
        <v>45430</v>
      </c>
      <c r="J10" s="1" t="s">
        <v>63</v>
      </c>
      <c r="K10" s="2">
        <v>330500</v>
      </c>
      <c r="L10" s="2">
        <v>26690</v>
      </c>
      <c r="M10" s="2">
        <f t="shared" si="1"/>
        <v>357190</v>
      </c>
    </row>
    <row r="11" spans="2:13" x14ac:dyDescent="0.25">
      <c r="C11" s="1"/>
      <c r="D11" s="1"/>
      <c r="E11" s="1"/>
      <c r="F11" s="1"/>
      <c r="G11" s="2"/>
      <c r="I11" s="3">
        <v>45428</v>
      </c>
      <c r="J11" s="1" t="s">
        <v>43</v>
      </c>
      <c r="K11" s="2">
        <v>2092000</v>
      </c>
      <c r="L11" s="2">
        <v>167360</v>
      </c>
      <c r="M11" s="2">
        <f t="shared" si="1"/>
        <v>2259360</v>
      </c>
    </row>
    <row r="12" spans="2:13" x14ac:dyDescent="0.25">
      <c r="C12" s="1"/>
      <c r="D12" s="1"/>
      <c r="E12" s="1"/>
      <c r="F12" s="1"/>
      <c r="G12" s="2"/>
      <c r="I12" s="3">
        <v>45434</v>
      </c>
      <c r="J12" s="1" t="s">
        <v>64</v>
      </c>
      <c r="K12" s="2">
        <v>833333</v>
      </c>
      <c r="L12" s="2">
        <v>66667</v>
      </c>
      <c r="M12" s="2">
        <f t="shared" si="1"/>
        <v>900000</v>
      </c>
    </row>
    <row r="13" spans="2:13" x14ac:dyDescent="0.25">
      <c r="C13" s="1"/>
      <c r="D13" s="1"/>
      <c r="E13" s="1"/>
      <c r="F13" s="1"/>
      <c r="G13" s="2"/>
      <c r="I13" s="3">
        <v>45434</v>
      </c>
      <c r="J13" s="1" t="s">
        <v>64</v>
      </c>
      <c r="K13" s="2">
        <v>636364</v>
      </c>
      <c r="L13" s="2">
        <v>63636</v>
      </c>
      <c r="M13" s="2">
        <f t="shared" si="1"/>
        <v>700000</v>
      </c>
    </row>
    <row r="14" spans="2:13" x14ac:dyDescent="0.25">
      <c r="C14" s="1"/>
      <c r="D14" s="1"/>
      <c r="E14" s="1"/>
      <c r="F14" s="1"/>
      <c r="G14" s="2"/>
      <c r="I14" s="3">
        <v>45432</v>
      </c>
      <c r="J14" s="1" t="s">
        <v>65</v>
      </c>
      <c r="K14" s="2">
        <v>2118000</v>
      </c>
      <c r="L14" s="2">
        <v>211800</v>
      </c>
      <c r="M14" s="2">
        <f t="shared" si="1"/>
        <v>2329800</v>
      </c>
    </row>
    <row r="15" spans="2:13" x14ac:dyDescent="0.25">
      <c r="C15" s="1"/>
      <c r="D15" s="1"/>
      <c r="E15" s="1"/>
      <c r="F15" s="1"/>
      <c r="G15" s="2"/>
      <c r="I15" s="3">
        <v>45443</v>
      </c>
      <c r="J15" s="1" t="s">
        <v>69</v>
      </c>
      <c r="K15" s="2">
        <v>115265</v>
      </c>
      <c r="L15" s="2">
        <v>11527</v>
      </c>
      <c r="M15" s="2">
        <f t="shared" si="1"/>
        <v>126792</v>
      </c>
    </row>
    <row r="16" spans="2:13" x14ac:dyDescent="0.25">
      <c r="C16" s="1"/>
      <c r="D16" s="1"/>
      <c r="E16" s="1"/>
      <c r="F16" s="1"/>
      <c r="G16" s="2"/>
      <c r="I16" s="3">
        <v>45421</v>
      </c>
      <c r="J16" s="1" t="s">
        <v>27</v>
      </c>
      <c r="K16" s="2">
        <v>1586692</v>
      </c>
      <c r="L16" s="2">
        <v>87206</v>
      </c>
      <c r="M16" s="2">
        <f t="shared" si="1"/>
        <v>1673898</v>
      </c>
    </row>
    <row r="17" spans="3:13" x14ac:dyDescent="0.25">
      <c r="C17" s="1"/>
      <c r="D17" s="1"/>
      <c r="E17" s="1"/>
      <c r="F17" s="1"/>
      <c r="G17" s="2"/>
      <c r="I17" s="3">
        <v>45443</v>
      </c>
      <c r="J17" s="1" t="s">
        <v>50</v>
      </c>
      <c r="K17" s="1">
        <v>510455</v>
      </c>
      <c r="L17" s="1">
        <v>51046</v>
      </c>
      <c r="M17" s="2">
        <f t="shared" si="1"/>
        <v>561501</v>
      </c>
    </row>
    <row r="18" spans="3:13" x14ac:dyDescent="0.25">
      <c r="C18" s="1"/>
      <c r="D18" s="1"/>
      <c r="E18" s="1"/>
      <c r="F18" s="1"/>
      <c r="G18" s="2"/>
      <c r="I18" s="1"/>
      <c r="J18" s="1"/>
      <c r="K18" s="1"/>
      <c r="L18" s="1"/>
      <c r="M18" s="2"/>
    </row>
    <row r="19" spans="3:13" x14ac:dyDescent="0.25">
      <c r="C19" s="1"/>
      <c r="D19" s="1"/>
      <c r="E19" s="1"/>
      <c r="F19" s="1"/>
      <c r="G19" s="1"/>
      <c r="I19" s="1"/>
      <c r="J19" s="1"/>
      <c r="K19" s="1"/>
      <c r="L19" s="1"/>
      <c r="M19" s="2"/>
    </row>
    <row r="20" spans="3:13" x14ac:dyDescent="0.25">
      <c r="C20" s="1"/>
      <c r="D20" s="1"/>
      <c r="E20" s="1"/>
      <c r="F20" s="1"/>
      <c r="G20" s="1"/>
      <c r="I20" s="1"/>
      <c r="J20" s="1"/>
      <c r="K20" s="1"/>
      <c r="L20" s="1"/>
      <c r="M20" s="2"/>
    </row>
    <row r="21" spans="3:13" x14ac:dyDescent="0.25">
      <c r="C21" s="1"/>
      <c r="D21" s="1"/>
      <c r="E21" s="1"/>
      <c r="F21" s="1"/>
      <c r="G21" s="1"/>
      <c r="I21" s="1"/>
      <c r="J21" s="1"/>
      <c r="K21" s="1"/>
      <c r="L21" s="1"/>
      <c r="M21" s="2"/>
    </row>
    <row r="22" spans="3:13" x14ac:dyDescent="0.25">
      <c r="C22" s="1"/>
      <c r="D22" s="1" t="s">
        <v>8</v>
      </c>
      <c r="E22" s="2">
        <f>SUM(E4:E20)</f>
        <v>21688907</v>
      </c>
      <c r="F22" s="2">
        <f>SUM(F4:F21)</f>
        <v>1735113</v>
      </c>
      <c r="G22" s="2">
        <f>SUM(G4:G21)</f>
        <v>23424020</v>
      </c>
      <c r="I22" s="1"/>
      <c r="J22" s="1" t="s">
        <v>8</v>
      </c>
      <c r="K22" s="2">
        <f>SUM(K4:K21)</f>
        <v>31189540</v>
      </c>
      <c r="L22" s="2">
        <f>SUM(L4:L21)</f>
        <v>2605307</v>
      </c>
      <c r="M22" s="2">
        <f>SUM(M4:M21)</f>
        <v>33794847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31"/>
  <sheetViews>
    <sheetView topLeftCell="B1" workbookViewId="0">
      <selection activeCell="H29" sqref="H29"/>
    </sheetView>
  </sheetViews>
  <sheetFormatPr defaultRowHeight="15" x14ac:dyDescent="0.25"/>
  <cols>
    <col min="2" max="2" width="16.85546875" customWidth="1"/>
    <col min="3" max="3" width="10" customWidth="1"/>
    <col min="4" max="4" width="27.85546875" customWidth="1"/>
    <col min="5" max="5" width="12.42578125" customWidth="1"/>
    <col min="6" max="6" width="10.85546875" customWidth="1"/>
    <col min="7" max="7" width="11.5703125" customWidth="1"/>
    <col min="8" max="8" width="22.5703125" customWidth="1"/>
    <col min="10" max="10" width="22.85546875" customWidth="1"/>
    <col min="11" max="11" width="13.140625" customWidth="1"/>
    <col min="12" max="12" width="10.7109375" customWidth="1"/>
    <col min="13" max="13" width="12.7109375" customWidth="1"/>
  </cols>
  <sheetData>
    <row r="3" spans="2:13" x14ac:dyDescent="0.25">
      <c r="B3" s="1" t="s">
        <v>9</v>
      </c>
      <c r="C3" s="1" t="s">
        <v>0</v>
      </c>
      <c r="D3" s="1" t="s">
        <v>10</v>
      </c>
      <c r="E3" s="1" t="s">
        <v>2</v>
      </c>
      <c r="F3" s="1" t="s">
        <v>16</v>
      </c>
      <c r="G3" s="1" t="s">
        <v>17</v>
      </c>
      <c r="H3" s="1" t="s">
        <v>11</v>
      </c>
      <c r="I3" s="1" t="s">
        <v>0</v>
      </c>
      <c r="J3" s="1" t="s">
        <v>12</v>
      </c>
      <c r="K3" s="1" t="s">
        <v>1</v>
      </c>
      <c r="L3" s="1" t="s">
        <v>16</v>
      </c>
      <c r="M3" s="1" t="s">
        <v>18</v>
      </c>
    </row>
    <row r="4" spans="2:13" x14ac:dyDescent="0.25">
      <c r="C4" s="3">
        <v>45450</v>
      </c>
      <c r="D4" s="1" t="s">
        <v>71</v>
      </c>
      <c r="E4" s="2">
        <v>555556</v>
      </c>
      <c r="F4" s="2">
        <v>44444</v>
      </c>
      <c r="G4" s="2">
        <f t="shared" ref="G4:G18" si="0">SUM(E4:F4)</f>
        <v>600000</v>
      </c>
      <c r="H4" s="1"/>
      <c r="I4" s="3">
        <v>45446</v>
      </c>
      <c r="J4" s="1" t="s">
        <v>70</v>
      </c>
      <c r="K4" s="2">
        <v>13500000</v>
      </c>
      <c r="L4" s="2">
        <v>1080000</v>
      </c>
      <c r="M4" s="2">
        <f t="shared" ref="M4:M15" si="1">SUM(K4:L4)</f>
        <v>14580000</v>
      </c>
    </row>
    <row r="5" spans="2:13" x14ac:dyDescent="0.25">
      <c r="C5" s="3">
        <v>45455</v>
      </c>
      <c r="D5" s="1" t="s">
        <v>72</v>
      </c>
      <c r="E5" s="2">
        <v>8055555</v>
      </c>
      <c r="F5" s="2">
        <v>644445</v>
      </c>
      <c r="G5" s="2">
        <f t="shared" si="0"/>
        <v>8700000</v>
      </c>
      <c r="I5" s="3">
        <v>45447</v>
      </c>
      <c r="J5" s="1" t="s">
        <v>73</v>
      </c>
      <c r="K5" s="2">
        <v>22620</v>
      </c>
      <c r="L5" s="2">
        <v>2262</v>
      </c>
      <c r="M5" s="2">
        <f t="shared" si="1"/>
        <v>24882</v>
      </c>
    </row>
    <row r="6" spans="2:13" x14ac:dyDescent="0.25">
      <c r="C6" s="3">
        <v>45455</v>
      </c>
      <c r="D6" s="1" t="s">
        <v>72</v>
      </c>
      <c r="E6" s="2">
        <v>1388889</v>
      </c>
      <c r="F6" s="2">
        <v>111111</v>
      </c>
      <c r="G6" s="2">
        <f t="shared" si="0"/>
        <v>1500000</v>
      </c>
      <c r="I6" s="3">
        <v>45445</v>
      </c>
      <c r="J6" s="1" t="s">
        <v>55</v>
      </c>
      <c r="K6" s="2">
        <v>11188821</v>
      </c>
      <c r="L6" s="2">
        <v>895106</v>
      </c>
      <c r="M6" s="2">
        <f t="shared" si="1"/>
        <v>12083927</v>
      </c>
    </row>
    <row r="7" spans="2:13" x14ac:dyDescent="0.25">
      <c r="C7" s="3">
        <v>45455</v>
      </c>
      <c r="D7" s="1" t="s">
        <v>72</v>
      </c>
      <c r="E7" s="2">
        <v>7037038</v>
      </c>
      <c r="F7" s="2">
        <v>562962</v>
      </c>
      <c r="G7" s="2">
        <f t="shared" si="0"/>
        <v>7600000</v>
      </c>
      <c r="I7" s="3">
        <v>45448</v>
      </c>
      <c r="J7" s="1" t="s">
        <v>74</v>
      </c>
      <c r="K7" s="2">
        <v>240909</v>
      </c>
      <c r="L7" s="2">
        <v>19273</v>
      </c>
      <c r="M7" s="2">
        <f t="shared" si="1"/>
        <v>260182</v>
      </c>
    </row>
    <row r="8" spans="2:13" x14ac:dyDescent="0.25">
      <c r="C8" s="3">
        <v>45459</v>
      </c>
      <c r="D8" s="1" t="s">
        <v>72</v>
      </c>
      <c r="E8" s="2">
        <v>9722220</v>
      </c>
      <c r="F8" s="2">
        <v>777780</v>
      </c>
      <c r="G8" s="2">
        <f t="shared" si="0"/>
        <v>10500000</v>
      </c>
      <c r="I8" s="3">
        <v>45451</v>
      </c>
      <c r="J8" s="1" t="s">
        <v>79</v>
      </c>
      <c r="K8" s="2">
        <v>1309406</v>
      </c>
      <c r="L8" s="2">
        <v>71967</v>
      </c>
      <c r="M8" s="2">
        <f t="shared" si="1"/>
        <v>1381373</v>
      </c>
    </row>
    <row r="9" spans="2:13" x14ac:dyDescent="0.25">
      <c r="C9" s="3">
        <v>45460</v>
      </c>
      <c r="D9" s="1" t="s">
        <v>75</v>
      </c>
      <c r="E9" s="2">
        <v>740741</v>
      </c>
      <c r="F9" s="2">
        <v>59259</v>
      </c>
      <c r="G9" s="2">
        <f t="shared" si="0"/>
        <v>800000</v>
      </c>
      <c r="I9" s="3">
        <v>45468</v>
      </c>
      <c r="J9" s="1" t="s">
        <v>33</v>
      </c>
      <c r="K9" s="2">
        <v>215454</v>
      </c>
      <c r="L9" s="2">
        <v>21545</v>
      </c>
      <c r="M9" s="2">
        <f t="shared" si="1"/>
        <v>236999</v>
      </c>
    </row>
    <row r="10" spans="2:13" x14ac:dyDescent="0.25">
      <c r="C10" s="3">
        <v>45460</v>
      </c>
      <c r="D10" s="1" t="s">
        <v>72</v>
      </c>
      <c r="E10" s="2">
        <v>1296296</v>
      </c>
      <c r="F10" s="2">
        <v>103704</v>
      </c>
      <c r="G10" s="2">
        <f t="shared" si="0"/>
        <v>1400000</v>
      </c>
      <c r="I10" s="3">
        <v>45468</v>
      </c>
      <c r="J10" s="1" t="s">
        <v>43</v>
      </c>
      <c r="K10" s="2">
        <v>3089815</v>
      </c>
      <c r="L10" s="2">
        <v>247185</v>
      </c>
      <c r="M10" s="2">
        <f t="shared" si="1"/>
        <v>3337000</v>
      </c>
    </row>
    <row r="11" spans="2:13" x14ac:dyDescent="0.25">
      <c r="C11" s="3">
        <v>45463</v>
      </c>
      <c r="D11" s="1" t="s">
        <v>76</v>
      </c>
      <c r="E11" s="2">
        <v>9932500</v>
      </c>
      <c r="F11" s="2">
        <v>794600</v>
      </c>
      <c r="G11" s="2">
        <f t="shared" si="0"/>
        <v>10727100</v>
      </c>
      <c r="I11" s="3">
        <v>45468</v>
      </c>
      <c r="J11" s="1" t="s">
        <v>80</v>
      </c>
      <c r="K11" s="2">
        <v>4345000</v>
      </c>
      <c r="L11" s="2">
        <v>358400</v>
      </c>
      <c r="M11" s="2">
        <f t="shared" si="1"/>
        <v>4703400</v>
      </c>
    </row>
    <row r="12" spans="2:13" x14ac:dyDescent="0.25">
      <c r="C12" s="3">
        <v>45466</v>
      </c>
      <c r="D12" s="1" t="s">
        <v>45</v>
      </c>
      <c r="E12" s="2">
        <v>370370</v>
      </c>
      <c r="F12" s="2">
        <v>29630</v>
      </c>
      <c r="G12" s="2">
        <f t="shared" si="0"/>
        <v>400000</v>
      </c>
      <c r="I12" s="3">
        <v>45472</v>
      </c>
      <c r="J12" s="1" t="s">
        <v>81</v>
      </c>
      <c r="K12" s="2">
        <v>1300000</v>
      </c>
      <c r="L12" s="2">
        <v>104000</v>
      </c>
      <c r="M12" s="2">
        <f t="shared" si="1"/>
        <v>1404000</v>
      </c>
    </row>
    <row r="13" spans="2:13" x14ac:dyDescent="0.25">
      <c r="C13" s="3">
        <v>45466</v>
      </c>
      <c r="D13" s="1" t="s">
        <v>77</v>
      </c>
      <c r="E13" s="2">
        <v>1111111</v>
      </c>
      <c r="F13" s="2">
        <v>88889</v>
      </c>
      <c r="G13" s="2">
        <f t="shared" si="0"/>
        <v>1200000</v>
      </c>
      <c r="I13" s="3">
        <v>45472</v>
      </c>
      <c r="J13" s="1" t="s">
        <v>58</v>
      </c>
      <c r="K13" s="2">
        <v>31182</v>
      </c>
      <c r="L13" s="2">
        <v>3118</v>
      </c>
      <c r="M13" s="2">
        <f t="shared" si="1"/>
        <v>34300</v>
      </c>
    </row>
    <row r="14" spans="2:13" x14ac:dyDescent="0.25">
      <c r="C14" s="3">
        <v>45466</v>
      </c>
      <c r="D14" s="1" t="s">
        <v>72</v>
      </c>
      <c r="E14" s="2">
        <v>9444442</v>
      </c>
      <c r="F14" s="2">
        <v>755558</v>
      </c>
      <c r="G14" s="2">
        <f t="shared" si="0"/>
        <v>10200000</v>
      </c>
      <c r="I14" s="3">
        <v>45473</v>
      </c>
      <c r="J14" s="1" t="s">
        <v>40</v>
      </c>
      <c r="K14" s="2">
        <v>510455</v>
      </c>
      <c r="L14" s="2">
        <v>51046</v>
      </c>
      <c r="M14" s="2">
        <f t="shared" si="1"/>
        <v>561501</v>
      </c>
    </row>
    <row r="15" spans="2:13" x14ac:dyDescent="0.25">
      <c r="C15" s="3">
        <v>45467</v>
      </c>
      <c r="D15" s="1" t="s">
        <v>78</v>
      </c>
      <c r="E15" s="2">
        <v>3935185</v>
      </c>
      <c r="F15" s="2">
        <v>314815</v>
      </c>
      <c r="G15" s="2">
        <f t="shared" si="0"/>
        <v>4250000</v>
      </c>
      <c r="I15" s="3"/>
      <c r="J15" s="1"/>
      <c r="K15" s="2"/>
      <c r="L15" s="2"/>
      <c r="M15" s="2">
        <f t="shared" si="1"/>
        <v>0</v>
      </c>
    </row>
    <row r="16" spans="2:13" x14ac:dyDescent="0.25">
      <c r="C16" s="3">
        <v>45467</v>
      </c>
      <c r="D16" s="1" t="s">
        <v>72</v>
      </c>
      <c r="E16" s="2">
        <v>8518519</v>
      </c>
      <c r="F16" s="2">
        <v>681481</v>
      </c>
      <c r="G16" s="2">
        <f t="shared" si="0"/>
        <v>9200000</v>
      </c>
      <c r="I16" s="1"/>
      <c r="J16" s="1"/>
      <c r="K16" s="1"/>
      <c r="L16" s="1"/>
      <c r="M16" s="2"/>
    </row>
    <row r="17" spans="3:13" x14ac:dyDescent="0.25">
      <c r="C17" s="3">
        <v>45470</v>
      </c>
      <c r="D17" s="1" t="s">
        <v>72</v>
      </c>
      <c r="E17" s="2">
        <v>833333</v>
      </c>
      <c r="F17" s="2">
        <v>66667</v>
      </c>
      <c r="G17" s="2">
        <f t="shared" si="0"/>
        <v>900000</v>
      </c>
      <c r="I17" s="1"/>
      <c r="J17" s="1"/>
      <c r="K17" s="1"/>
      <c r="L17" s="1"/>
      <c r="M17" s="2"/>
    </row>
    <row r="18" spans="3:13" x14ac:dyDescent="0.25">
      <c r="C18" s="3">
        <v>45473</v>
      </c>
      <c r="D18" s="1" t="s">
        <v>82</v>
      </c>
      <c r="E18" s="2">
        <v>1481482</v>
      </c>
      <c r="F18" s="2">
        <v>118519</v>
      </c>
      <c r="G18" s="2">
        <f t="shared" si="0"/>
        <v>1600001</v>
      </c>
      <c r="I18" s="1"/>
      <c r="J18" s="1"/>
      <c r="K18" s="1"/>
      <c r="L18" s="1"/>
      <c r="M18" s="2"/>
    </row>
    <row r="19" spans="3:13" x14ac:dyDescent="0.25">
      <c r="C19" s="3">
        <v>45473</v>
      </c>
      <c r="D19" s="1" t="s">
        <v>6</v>
      </c>
      <c r="E19" s="2">
        <v>740740</v>
      </c>
      <c r="F19" s="2">
        <v>59260</v>
      </c>
      <c r="G19" s="2">
        <f>SUM(E19:F19)</f>
        <v>800000</v>
      </c>
      <c r="I19" s="1"/>
      <c r="J19" s="1"/>
      <c r="K19" s="1"/>
      <c r="L19" s="1"/>
      <c r="M19" s="2"/>
    </row>
    <row r="20" spans="3:13" x14ac:dyDescent="0.25">
      <c r="C20" s="3">
        <v>45473</v>
      </c>
      <c r="D20" s="1" t="s">
        <v>6</v>
      </c>
      <c r="E20" s="2">
        <v>7037036</v>
      </c>
      <c r="F20" s="2">
        <v>562964</v>
      </c>
      <c r="G20" s="2">
        <f>SUM(E20:F20)</f>
        <v>7600000</v>
      </c>
      <c r="I20" s="1"/>
      <c r="J20" s="1"/>
      <c r="K20" s="1"/>
      <c r="L20" s="1"/>
      <c r="M20" s="2"/>
    </row>
    <row r="21" spans="3:13" x14ac:dyDescent="0.25">
      <c r="C21" s="1"/>
      <c r="D21" s="1"/>
      <c r="E21" s="1"/>
      <c r="F21" s="1"/>
      <c r="G21" s="1"/>
      <c r="I21" s="1"/>
      <c r="J21" s="1"/>
      <c r="K21" s="1"/>
      <c r="L21" s="1"/>
      <c r="M21" s="2"/>
    </row>
    <row r="22" spans="3:13" x14ac:dyDescent="0.25">
      <c r="C22" s="1"/>
      <c r="D22" s="1" t="s">
        <v>8</v>
      </c>
      <c r="E22" s="2">
        <f>SUM(E4:E20)</f>
        <v>72201013</v>
      </c>
      <c r="F22" s="2">
        <f>SUM(F4:F21)</f>
        <v>5776088</v>
      </c>
      <c r="G22" s="2">
        <f>SUM(G4:G21)</f>
        <v>77977101</v>
      </c>
      <c r="I22" s="1"/>
      <c r="J22" s="1" t="s">
        <v>8</v>
      </c>
      <c r="K22" s="2">
        <f>SUM(K4:K21)</f>
        <v>35753662</v>
      </c>
      <c r="L22" s="2">
        <f>SUM(L4:L21)</f>
        <v>2853902</v>
      </c>
      <c r="M22" s="2">
        <f>SUM(M4:M21)</f>
        <v>38607564</v>
      </c>
    </row>
    <row r="28" spans="3:13" x14ac:dyDescent="0.25">
      <c r="D28" s="4"/>
      <c r="E28" s="4"/>
    </row>
    <row r="29" spans="3:13" x14ac:dyDescent="0.25">
      <c r="D29" s="4"/>
      <c r="E29" s="4"/>
    </row>
    <row r="31" spans="3:13" x14ac:dyDescent="0.25">
      <c r="E31" s="4">
        <f>'tháng 6'!E22+'tháng 5'!E22+'tháng 4'!E22</f>
        <v>127345251</v>
      </c>
      <c r="F31" s="4">
        <f>'tháng 6'!F22+'tháng 5'!F22+'tháng 4'!F22</f>
        <v>10187630</v>
      </c>
      <c r="G31" s="4">
        <f>'tháng 6'!G22+'tháng 5'!G22+'tháng 4'!G22</f>
        <v>137532881</v>
      </c>
      <c r="K31" s="4">
        <f>K22+'tháng 5'!K22+'tháng 4'!K22</f>
        <v>87059823</v>
      </c>
      <c r="L31" s="4">
        <f>L22+'tháng 5'!L22+'tháng 4'!L22</f>
        <v>7054629</v>
      </c>
      <c r="M31" s="4">
        <f>M22+'tháng 5'!M22+'tháng 4'!M22</f>
        <v>94114452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31"/>
  <sheetViews>
    <sheetView topLeftCell="B1" workbookViewId="0">
      <selection activeCell="G22" sqref="G22"/>
    </sheetView>
  </sheetViews>
  <sheetFormatPr defaultRowHeight="15" x14ac:dyDescent="0.25"/>
  <cols>
    <col min="2" max="2" width="16.85546875" customWidth="1"/>
    <col min="3" max="3" width="10" customWidth="1"/>
    <col min="4" max="4" width="27.85546875" customWidth="1"/>
    <col min="5" max="5" width="12.42578125" customWidth="1"/>
    <col min="6" max="6" width="10.85546875" customWidth="1"/>
    <col min="7" max="7" width="11.5703125" customWidth="1"/>
    <col min="8" max="8" width="22.5703125" customWidth="1"/>
    <col min="10" max="10" width="22.85546875" customWidth="1"/>
    <col min="11" max="11" width="13.140625" customWidth="1"/>
    <col min="12" max="12" width="10.7109375" customWidth="1"/>
    <col min="13" max="13" width="12.7109375" customWidth="1"/>
  </cols>
  <sheetData>
    <row r="3" spans="2:13" x14ac:dyDescent="0.25">
      <c r="B3" s="1" t="s">
        <v>9</v>
      </c>
      <c r="C3" s="1" t="s">
        <v>0</v>
      </c>
      <c r="D3" s="1" t="s">
        <v>10</v>
      </c>
      <c r="E3" s="1" t="s">
        <v>2</v>
      </c>
      <c r="F3" s="1" t="s">
        <v>16</v>
      </c>
      <c r="G3" s="1" t="s">
        <v>17</v>
      </c>
      <c r="H3" s="1" t="s">
        <v>11</v>
      </c>
      <c r="I3" s="1" t="s">
        <v>0</v>
      </c>
      <c r="J3" s="1" t="s">
        <v>12</v>
      </c>
      <c r="K3" s="1" t="s">
        <v>1</v>
      </c>
      <c r="L3" s="1" t="s">
        <v>16</v>
      </c>
      <c r="M3" s="1" t="s">
        <v>18</v>
      </c>
    </row>
    <row r="4" spans="2:13" x14ac:dyDescent="0.25">
      <c r="C4" s="3">
        <v>45475</v>
      </c>
      <c r="D4" s="1" t="s">
        <v>83</v>
      </c>
      <c r="E4" s="2">
        <v>636364</v>
      </c>
      <c r="F4" s="2">
        <v>63636</v>
      </c>
      <c r="G4" s="2">
        <f t="shared" ref="G4:G18" si="0">SUM(E4:F4)</f>
        <v>700000</v>
      </c>
      <c r="H4" s="1"/>
      <c r="I4" s="3">
        <v>45477</v>
      </c>
      <c r="J4" s="1" t="s">
        <v>85</v>
      </c>
      <c r="K4" s="2">
        <v>24481</v>
      </c>
      <c r="L4" s="2">
        <v>2448</v>
      </c>
      <c r="M4" s="2">
        <f t="shared" ref="M4:M15" si="1">SUM(K4:L4)</f>
        <v>26929</v>
      </c>
    </row>
    <row r="5" spans="2:13" x14ac:dyDescent="0.25">
      <c r="C5" s="3">
        <v>45478</v>
      </c>
      <c r="D5" s="1" t="s">
        <v>84</v>
      </c>
      <c r="E5" s="2">
        <v>462963</v>
      </c>
      <c r="F5" s="2">
        <v>37037</v>
      </c>
      <c r="G5" s="2">
        <f t="shared" si="0"/>
        <v>500000</v>
      </c>
      <c r="I5" s="3">
        <v>45476</v>
      </c>
      <c r="J5" s="1" t="s">
        <v>55</v>
      </c>
      <c r="K5" s="2">
        <v>19634504</v>
      </c>
      <c r="L5" s="2">
        <v>1570724</v>
      </c>
      <c r="M5" s="2">
        <f t="shared" si="1"/>
        <v>21205228</v>
      </c>
    </row>
    <row r="6" spans="2:13" x14ac:dyDescent="0.25">
      <c r="C6" s="3">
        <v>45479</v>
      </c>
      <c r="D6" s="1" t="s">
        <v>82</v>
      </c>
      <c r="E6" s="2">
        <v>1203704</v>
      </c>
      <c r="F6" s="2">
        <v>96296</v>
      </c>
      <c r="G6" s="2">
        <f t="shared" si="0"/>
        <v>1300000</v>
      </c>
      <c r="I6" s="3">
        <v>45484</v>
      </c>
      <c r="J6" s="1" t="s">
        <v>81</v>
      </c>
      <c r="K6" s="2">
        <v>972222</v>
      </c>
      <c r="L6" s="2">
        <v>77778</v>
      </c>
      <c r="M6" s="2">
        <f t="shared" si="1"/>
        <v>1050000</v>
      </c>
    </row>
    <row r="7" spans="2:13" x14ac:dyDescent="0.25">
      <c r="C7" s="3">
        <v>45481</v>
      </c>
      <c r="D7" s="1" t="s">
        <v>6</v>
      </c>
      <c r="E7" s="2">
        <v>1851852</v>
      </c>
      <c r="F7" s="2">
        <v>148148</v>
      </c>
      <c r="G7" s="2">
        <f t="shared" si="0"/>
        <v>2000000</v>
      </c>
      <c r="I7" s="3">
        <v>45483</v>
      </c>
      <c r="J7" s="1" t="s">
        <v>87</v>
      </c>
      <c r="K7" s="2">
        <v>1000000</v>
      </c>
      <c r="L7" s="2">
        <v>100000</v>
      </c>
      <c r="M7" s="2">
        <f t="shared" si="1"/>
        <v>1100000</v>
      </c>
    </row>
    <row r="8" spans="2:13" x14ac:dyDescent="0.25">
      <c r="C8" s="3">
        <v>45481</v>
      </c>
      <c r="D8" s="1" t="s">
        <v>6</v>
      </c>
      <c r="E8" s="2">
        <v>2222222</v>
      </c>
      <c r="F8" s="2">
        <v>177778</v>
      </c>
      <c r="G8" s="2">
        <f t="shared" si="0"/>
        <v>2400000</v>
      </c>
      <c r="I8" s="3">
        <v>45482</v>
      </c>
      <c r="J8" s="1" t="s">
        <v>79</v>
      </c>
      <c r="K8" s="2">
        <v>2048836</v>
      </c>
      <c r="L8" s="2">
        <v>112607</v>
      </c>
      <c r="M8" s="2">
        <f t="shared" si="1"/>
        <v>2161443</v>
      </c>
    </row>
    <row r="9" spans="2:13" x14ac:dyDescent="0.25">
      <c r="C9" s="3">
        <v>45482</v>
      </c>
      <c r="D9" s="1" t="s">
        <v>86</v>
      </c>
      <c r="E9" s="2">
        <v>2962964</v>
      </c>
      <c r="F9" s="2">
        <v>237038</v>
      </c>
      <c r="G9" s="2">
        <f t="shared" si="0"/>
        <v>3200002</v>
      </c>
      <c r="I9" s="3">
        <v>45502</v>
      </c>
      <c r="J9" s="1" t="s">
        <v>94</v>
      </c>
      <c r="K9" s="2">
        <v>750000</v>
      </c>
      <c r="L9" s="2">
        <v>60000</v>
      </c>
      <c r="M9" s="2">
        <f t="shared" si="1"/>
        <v>810000</v>
      </c>
    </row>
    <row r="10" spans="2:13" x14ac:dyDescent="0.25">
      <c r="C10" s="3">
        <v>45488</v>
      </c>
      <c r="D10" s="1" t="s">
        <v>88</v>
      </c>
      <c r="E10" s="2">
        <v>3333332</v>
      </c>
      <c r="F10" s="2">
        <v>266668</v>
      </c>
      <c r="G10" s="2">
        <f t="shared" si="0"/>
        <v>3600000</v>
      </c>
      <c r="I10" s="3">
        <v>45502</v>
      </c>
      <c r="J10" s="1" t="s">
        <v>95</v>
      </c>
      <c r="K10" s="2">
        <v>1440000</v>
      </c>
      <c r="L10" s="2">
        <v>144000</v>
      </c>
      <c r="M10" s="2">
        <f t="shared" si="1"/>
        <v>1584000</v>
      </c>
    </row>
    <row r="11" spans="2:13" x14ac:dyDescent="0.25">
      <c r="C11" s="3">
        <v>45488</v>
      </c>
      <c r="D11" s="1" t="s">
        <v>72</v>
      </c>
      <c r="E11" s="2">
        <v>10000000</v>
      </c>
      <c r="F11" s="2">
        <v>800000</v>
      </c>
      <c r="G11" s="2">
        <f t="shared" si="0"/>
        <v>10800000</v>
      </c>
      <c r="I11" s="3">
        <v>45502</v>
      </c>
      <c r="J11" s="1" t="s">
        <v>65</v>
      </c>
      <c r="K11" s="2">
        <v>1096363</v>
      </c>
      <c r="L11" s="2">
        <v>109636</v>
      </c>
      <c r="M11" s="2">
        <f t="shared" si="1"/>
        <v>1205999</v>
      </c>
    </row>
    <row r="12" spans="2:13" x14ac:dyDescent="0.25">
      <c r="C12" s="3">
        <v>45488</v>
      </c>
      <c r="D12" s="1" t="s">
        <v>6</v>
      </c>
      <c r="E12" s="2">
        <v>15648148</v>
      </c>
      <c r="F12" s="2">
        <v>1251853</v>
      </c>
      <c r="G12" s="2">
        <f t="shared" si="0"/>
        <v>16900001</v>
      </c>
      <c r="I12" s="3">
        <v>45482</v>
      </c>
      <c r="J12" s="1" t="s">
        <v>61</v>
      </c>
      <c r="K12" s="2">
        <v>240909</v>
      </c>
      <c r="L12" s="2">
        <v>19273</v>
      </c>
      <c r="M12" s="2">
        <f t="shared" si="1"/>
        <v>260182</v>
      </c>
    </row>
    <row r="13" spans="2:13" x14ac:dyDescent="0.25">
      <c r="C13" s="3">
        <v>45493</v>
      </c>
      <c r="D13" s="1" t="s">
        <v>89</v>
      </c>
      <c r="E13" s="2">
        <v>462963</v>
      </c>
      <c r="F13" s="2">
        <v>37037</v>
      </c>
      <c r="G13" s="2">
        <f t="shared" si="0"/>
        <v>500000</v>
      </c>
      <c r="I13" s="3">
        <v>45504</v>
      </c>
      <c r="J13" s="1" t="s">
        <v>38</v>
      </c>
      <c r="K13" s="2">
        <v>155166</v>
      </c>
      <c r="L13" s="2">
        <v>15517</v>
      </c>
      <c r="M13" s="2">
        <f t="shared" si="1"/>
        <v>170683</v>
      </c>
    </row>
    <row r="14" spans="2:13" x14ac:dyDescent="0.25">
      <c r="C14" s="3">
        <v>45493</v>
      </c>
      <c r="D14" s="1" t="s">
        <v>7</v>
      </c>
      <c r="E14" s="2">
        <v>8998000</v>
      </c>
      <c r="F14" s="2">
        <v>719840</v>
      </c>
      <c r="G14" s="2">
        <f t="shared" si="0"/>
        <v>9717840</v>
      </c>
      <c r="I14" s="3">
        <v>45504</v>
      </c>
      <c r="J14" s="1" t="s">
        <v>40</v>
      </c>
      <c r="K14" s="2">
        <v>510455</v>
      </c>
      <c r="L14" s="2">
        <v>51046</v>
      </c>
      <c r="M14" s="2">
        <f t="shared" si="1"/>
        <v>561501</v>
      </c>
    </row>
    <row r="15" spans="2:13" x14ac:dyDescent="0.25">
      <c r="C15" s="3">
        <v>45493</v>
      </c>
      <c r="D15" s="1" t="s">
        <v>90</v>
      </c>
      <c r="E15" s="2">
        <v>2663889</v>
      </c>
      <c r="F15" s="2">
        <v>213111</v>
      </c>
      <c r="G15" s="2">
        <f t="shared" si="0"/>
        <v>2877000</v>
      </c>
      <c r="I15" s="3"/>
      <c r="J15" s="1"/>
      <c r="K15" s="2"/>
      <c r="L15" s="2"/>
      <c r="M15" s="2">
        <f t="shared" si="1"/>
        <v>0</v>
      </c>
    </row>
    <row r="16" spans="2:13" x14ac:dyDescent="0.25">
      <c r="C16" s="3">
        <v>45497</v>
      </c>
      <c r="D16" s="1" t="s">
        <v>72</v>
      </c>
      <c r="E16" s="2">
        <v>6851851</v>
      </c>
      <c r="F16" s="2">
        <v>548149</v>
      </c>
      <c r="G16" s="2">
        <f t="shared" si="0"/>
        <v>7400000</v>
      </c>
      <c r="I16" s="1"/>
      <c r="J16" s="1"/>
      <c r="K16" s="1"/>
      <c r="L16" s="1"/>
      <c r="M16" s="2"/>
    </row>
    <row r="17" spans="3:13" x14ac:dyDescent="0.25">
      <c r="C17" s="3">
        <v>45497</v>
      </c>
      <c r="D17" s="1" t="s">
        <v>72</v>
      </c>
      <c r="E17" s="2">
        <v>2592593</v>
      </c>
      <c r="F17" s="2">
        <v>207407</v>
      </c>
      <c r="G17" s="2">
        <f t="shared" si="0"/>
        <v>2800000</v>
      </c>
      <c r="I17" s="1"/>
      <c r="J17" s="1"/>
      <c r="K17" s="1"/>
      <c r="L17" s="1"/>
      <c r="M17" s="2"/>
    </row>
    <row r="18" spans="3:13" x14ac:dyDescent="0.25">
      <c r="C18" s="3">
        <v>45497</v>
      </c>
      <c r="D18" s="1" t="s">
        <v>91</v>
      </c>
      <c r="E18" s="2">
        <v>1944444</v>
      </c>
      <c r="F18" s="2">
        <v>155556</v>
      </c>
      <c r="G18" s="2">
        <f t="shared" si="0"/>
        <v>2100000</v>
      </c>
      <c r="I18" s="1"/>
      <c r="J18" s="1"/>
      <c r="K18" s="1"/>
      <c r="L18" s="1"/>
      <c r="M18" s="2"/>
    </row>
    <row r="19" spans="3:13" x14ac:dyDescent="0.25">
      <c r="C19" s="3">
        <v>45498</v>
      </c>
      <c r="D19" s="1" t="s">
        <v>77</v>
      </c>
      <c r="E19" s="2">
        <v>1111111</v>
      </c>
      <c r="F19" s="2">
        <v>88889</v>
      </c>
      <c r="G19" s="2">
        <f>SUM(E19:F19)</f>
        <v>1200000</v>
      </c>
      <c r="I19" s="1"/>
      <c r="J19" s="1"/>
      <c r="K19" s="1"/>
      <c r="L19" s="1"/>
      <c r="M19" s="2"/>
    </row>
    <row r="20" spans="3:13" x14ac:dyDescent="0.25">
      <c r="C20" s="3">
        <v>45499</v>
      </c>
      <c r="D20" s="1" t="s">
        <v>92</v>
      </c>
      <c r="E20" s="2">
        <v>1018519</v>
      </c>
      <c r="F20" s="2">
        <v>81481</v>
      </c>
      <c r="G20" s="2">
        <f>SUM(E20:F20)</f>
        <v>1100000</v>
      </c>
      <c r="I20" s="1"/>
      <c r="J20" s="1"/>
      <c r="K20" s="1"/>
      <c r="L20" s="1"/>
      <c r="M20" s="2"/>
    </row>
    <row r="21" spans="3:13" x14ac:dyDescent="0.25">
      <c r="C21" s="3">
        <v>45499</v>
      </c>
      <c r="D21" s="1" t="s">
        <v>93</v>
      </c>
      <c r="E21" s="2">
        <v>925926</v>
      </c>
      <c r="F21" s="2">
        <v>74074</v>
      </c>
      <c r="G21" s="2">
        <f>SUM(E21:F21)</f>
        <v>1000000</v>
      </c>
      <c r="I21" s="1"/>
      <c r="J21" s="1"/>
      <c r="K21" s="1"/>
      <c r="L21" s="1"/>
      <c r="M21" s="2"/>
    </row>
    <row r="22" spans="3:13" x14ac:dyDescent="0.25">
      <c r="C22" s="3">
        <v>45503</v>
      </c>
      <c r="D22" s="1" t="s">
        <v>96</v>
      </c>
      <c r="E22" s="2">
        <v>4259259</v>
      </c>
      <c r="F22" s="2">
        <v>340741</v>
      </c>
      <c r="G22" s="2">
        <f>SUM(E22:F22)</f>
        <v>4600000</v>
      </c>
    </row>
    <row r="23" spans="3:13" x14ac:dyDescent="0.25">
      <c r="C23" s="3">
        <v>45503</v>
      </c>
      <c r="D23" s="1" t="s">
        <v>97</v>
      </c>
      <c r="E23" s="2">
        <v>1666667</v>
      </c>
      <c r="F23" s="2">
        <v>133333</v>
      </c>
      <c r="G23" s="2">
        <f>SUM(E23:F23)</f>
        <v>1800000</v>
      </c>
    </row>
    <row r="24" spans="3:13" x14ac:dyDescent="0.25">
      <c r="C24" s="1"/>
      <c r="D24" s="1"/>
      <c r="E24" s="1"/>
      <c r="F24" s="1"/>
      <c r="G24" s="1"/>
    </row>
    <row r="25" spans="3:13" x14ac:dyDescent="0.25">
      <c r="C25" s="1"/>
      <c r="D25" s="1"/>
      <c r="E25" s="1"/>
      <c r="F25" s="1"/>
      <c r="G25" s="1"/>
    </row>
    <row r="26" spans="3:13" x14ac:dyDescent="0.25">
      <c r="C26" s="1"/>
      <c r="D26" s="1"/>
      <c r="E26" s="1"/>
      <c r="F26" s="1"/>
      <c r="G26" s="1"/>
    </row>
    <row r="27" spans="3:13" x14ac:dyDescent="0.25">
      <c r="C27" s="1"/>
      <c r="D27" s="1" t="s">
        <v>8</v>
      </c>
      <c r="E27" s="2">
        <f>SUM(E4:E26)</f>
        <v>70816771</v>
      </c>
      <c r="F27" s="2">
        <f>SUM(F4:F26)</f>
        <v>5678072</v>
      </c>
      <c r="G27" s="2">
        <f>SUM(G4:G26)</f>
        <v>76494843</v>
      </c>
      <c r="I27" s="1"/>
      <c r="J27" s="1" t="s">
        <v>8</v>
      </c>
      <c r="K27" s="2">
        <f>SUM(K4:K26)</f>
        <v>27872936</v>
      </c>
      <c r="L27" s="2">
        <f>SUM(L4:L26)</f>
        <v>2263029</v>
      </c>
      <c r="M27" s="2">
        <f>SUM(M4:M26)</f>
        <v>30135965</v>
      </c>
    </row>
    <row r="28" spans="3:13" x14ac:dyDescent="0.25">
      <c r="D28" s="4"/>
      <c r="E28" s="4"/>
    </row>
    <row r="29" spans="3:13" x14ac:dyDescent="0.25">
      <c r="D29" s="4"/>
      <c r="E29" s="4"/>
    </row>
    <row r="31" spans="3:13" x14ac:dyDescent="0.25">
      <c r="E31" s="4"/>
      <c r="F31" s="4"/>
      <c r="G31" s="4"/>
      <c r="K31" s="4"/>
      <c r="L31" s="4"/>
      <c r="M31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31"/>
  <sheetViews>
    <sheetView topLeftCell="B1" workbookViewId="0">
      <selection activeCell="D4" sqref="D4"/>
    </sheetView>
  </sheetViews>
  <sheetFormatPr defaultRowHeight="15" x14ac:dyDescent="0.25"/>
  <cols>
    <col min="2" max="2" width="16.85546875" customWidth="1"/>
    <col min="3" max="3" width="10" customWidth="1"/>
    <col min="4" max="4" width="27.85546875" customWidth="1"/>
    <col min="5" max="5" width="12.42578125" customWidth="1"/>
    <col min="6" max="6" width="10.85546875" customWidth="1"/>
    <col min="7" max="7" width="11.5703125" customWidth="1"/>
    <col min="8" max="8" width="22.5703125" customWidth="1"/>
    <col min="10" max="10" width="22.85546875" customWidth="1"/>
    <col min="11" max="11" width="13.140625" customWidth="1"/>
    <col min="12" max="12" width="10.7109375" customWidth="1"/>
    <col min="13" max="13" width="12.7109375" customWidth="1"/>
  </cols>
  <sheetData>
    <row r="3" spans="2:13" x14ac:dyDescent="0.25">
      <c r="B3" s="1" t="s">
        <v>9</v>
      </c>
      <c r="C3" s="1" t="s">
        <v>0</v>
      </c>
      <c r="D3" s="1" t="s">
        <v>10</v>
      </c>
      <c r="E3" s="1" t="s">
        <v>2</v>
      </c>
      <c r="F3" s="1" t="s">
        <v>16</v>
      </c>
      <c r="G3" s="1" t="s">
        <v>17</v>
      </c>
      <c r="H3" s="1" t="s">
        <v>11</v>
      </c>
      <c r="I3" s="1" t="s">
        <v>0</v>
      </c>
      <c r="J3" s="1" t="s">
        <v>12</v>
      </c>
      <c r="K3" s="1" t="s">
        <v>1</v>
      </c>
      <c r="L3" s="1" t="s">
        <v>16</v>
      </c>
      <c r="M3" s="1" t="s">
        <v>18</v>
      </c>
    </row>
    <row r="4" spans="2:13" x14ac:dyDescent="0.25">
      <c r="C4" s="3">
        <v>45508</v>
      </c>
      <c r="D4" s="1" t="s">
        <v>100</v>
      </c>
      <c r="E4" s="2">
        <v>7870370</v>
      </c>
      <c r="F4" s="2">
        <v>629630</v>
      </c>
      <c r="G4" s="2">
        <f t="shared" ref="G4:G11" si="0">SUM(E4,F4)</f>
        <v>8500000</v>
      </c>
      <c r="H4" s="1"/>
      <c r="I4" s="3">
        <v>45505</v>
      </c>
      <c r="J4" s="1" t="s">
        <v>98</v>
      </c>
      <c r="K4" s="2">
        <v>1876000</v>
      </c>
      <c r="L4" s="2">
        <v>150080</v>
      </c>
      <c r="M4" s="2">
        <f>SUM(K4,L4)</f>
        <v>2026080</v>
      </c>
    </row>
    <row r="5" spans="2:13" x14ac:dyDescent="0.25">
      <c r="C5" s="3">
        <v>45513</v>
      </c>
      <c r="D5" s="1" t="s">
        <v>104</v>
      </c>
      <c r="E5" s="2">
        <v>601852</v>
      </c>
      <c r="F5" s="2">
        <v>48148</v>
      </c>
      <c r="G5" s="2">
        <f t="shared" si="0"/>
        <v>650000</v>
      </c>
      <c r="I5" s="3">
        <v>45505</v>
      </c>
      <c r="J5" s="1" t="s">
        <v>99</v>
      </c>
      <c r="K5" s="2">
        <v>2198000</v>
      </c>
      <c r="L5" s="2">
        <v>175840</v>
      </c>
      <c r="M5" s="2">
        <f t="shared" ref="M5:M15" si="1">SUM(K5,L5)</f>
        <v>2373840</v>
      </c>
    </row>
    <row r="6" spans="2:13" x14ac:dyDescent="0.25">
      <c r="C6" s="3">
        <v>45517</v>
      </c>
      <c r="D6" s="1" t="s">
        <v>105</v>
      </c>
      <c r="E6" s="2">
        <v>2592593</v>
      </c>
      <c r="F6" s="2">
        <v>207407</v>
      </c>
      <c r="G6" s="2">
        <f t="shared" si="0"/>
        <v>2800000</v>
      </c>
      <c r="I6" s="3">
        <v>45509</v>
      </c>
      <c r="J6" s="1" t="s">
        <v>101</v>
      </c>
      <c r="K6" s="2">
        <v>1794000</v>
      </c>
      <c r="L6" s="2">
        <v>143520</v>
      </c>
      <c r="M6" s="2">
        <f t="shared" si="1"/>
        <v>1937520</v>
      </c>
    </row>
    <row r="7" spans="2:13" x14ac:dyDescent="0.25">
      <c r="C7" s="3">
        <v>45520</v>
      </c>
      <c r="D7" s="1">
        <v>901</v>
      </c>
      <c r="E7" s="2">
        <v>1666667</v>
      </c>
      <c r="F7" s="2">
        <v>133333</v>
      </c>
      <c r="G7" s="2">
        <f t="shared" si="0"/>
        <v>1800000</v>
      </c>
      <c r="I7" s="3">
        <v>45511</v>
      </c>
      <c r="J7" s="1" t="s">
        <v>102</v>
      </c>
      <c r="K7" s="2">
        <v>2880000</v>
      </c>
      <c r="L7" s="2">
        <v>288000</v>
      </c>
      <c r="M7" s="2">
        <f t="shared" si="1"/>
        <v>3168000</v>
      </c>
    </row>
    <row r="8" spans="2:13" x14ac:dyDescent="0.25">
      <c r="C8" s="3">
        <v>45522</v>
      </c>
      <c r="D8" s="1">
        <v>302</v>
      </c>
      <c r="E8" s="2">
        <v>2222222</v>
      </c>
      <c r="F8" s="2">
        <v>177778</v>
      </c>
      <c r="G8" s="2">
        <f t="shared" si="0"/>
        <v>2400000</v>
      </c>
      <c r="I8" s="3">
        <v>45510</v>
      </c>
      <c r="J8" s="1" t="s">
        <v>103</v>
      </c>
      <c r="K8" s="2">
        <v>324074</v>
      </c>
      <c r="L8" s="2">
        <v>25926</v>
      </c>
      <c r="M8" s="2">
        <f t="shared" si="1"/>
        <v>350000</v>
      </c>
    </row>
    <row r="9" spans="2:13" x14ac:dyDescent="0.25">
      <c r="C9" s="3">
        <v>45524</v>
      </c>
      <c r="D9" s="1" t="s">
        <v>35</v>
      </c>
      <c r="E9" s="2">
        <v>9834500</v>
      </c>
      <c r="F9" s="2">
        <v>786760</v>
      </c>
      <c r="G9" s="2">
        <f t="shared" si="0"/>
        <v>10621260</v>
      </c>
      <c r="I9" s="3">
        <v>45506</v>
      </c>
      <c r="J9" s="1" t="s">
        <v>23</v>
      </c>
      <c r="K9" s="2">
        <v>17407255</v>
      </c>
      <c r="L9" s="2">
        <v>1392580</v>
      </c>
      <c r="M9" s="2">
        <f t="shared" si="1"/>
        <v>18799835</v>
      </c>
    </row>
    <row r="10" spans="2:13" x14ac:dyDescent="0.25">
      <c r="C10" s="3">
        <v>45530</v>
      </c>
      <c r="D10" s="1" t="s">
        <v>77</v>
      </c>
      <c r="E10" s="2">
        <v>833333</v>
      </c>
      <c r="F10" s="2">
        <v>66667</v>
      </c>
      <c r="G10" s="2">
        <f t="shared" si="0"/>
        <v>900000</v>
      </c>
      <c r="I10" s="3">
        <v>45513</v>
      </c>
      <c r="J10" s="1" t="s">
        <v>79</v>
      </c>
      <c r="K10" s="2">
        <v>1941002</v>
      </c>
      <c r="L10" s="2">
        <v>106680</v>
      </c>
      <c r="M10" s="2">
        <f t="shared" si="1"/>
        <v>2047682</v>
      </c>
    </row>
    <row r="11" spans="2:13" x14ac:dyDescent="0.25">
      <c r="C11" s="3">
        <v>45531</v>
      </c>
      <c r="D11" s="1" t="s">
        <v>107</v>
      </c>
      <c r="E11" s="2">
        <v>4800000</v>
      </c>
      <c r="F11" s="2">
        <v>384000</v>
      </c>
      <c r="G11" s="2">
        <f t="shared" si="0"/>
        <v>5184000</v>
      </c>
      <c r="I11" s="3">
        <v>45516</v>
      </c>
      <c r="J11" s="1" t="s">
        <v>61</v>
      </c>
      <c r="K11" s="2">
        <v>240909</v>
      </c>
      <c r="L11" s="2">
        <v>19273</v>
      </c>
      <c r="M11" s="2">
        <f t="shared" si="1"/>
        <v>260182</v>
      </c>
    </row>
    <row r="12" spans="2:13" x14ac:dyDescent="0.25">
      <c r="C12" s="3"/>
      <c r="D12" s="1"/>
      <c r="E12" s="2"/>
      <c r="F12" s="2"/>
      <c r="G12" s="2"/>
      <c r="I12" s="3">
        <v>45508</v>
      </c>
      <c r="J12" s="1" t="s">
        <v>106</v>
      </c>
      <c r="K12" s="2">
        <v>23509</v>
      </c>
      <c r="L12" s="2">
        <v>2351</v>
      </c>
      <c r="M12" s="2">
        <f t="shared" si="1"/>
        <v>25860</v>
      </c>
    </row>
    <row r="13" spans="2:13" x14ac:dyDescent="0.25">
      <c r="C13" s="3"/>
      <c r="D13" s="1"/>
      <c r="E13" s="2"/>
      <c r="F13" s="2"/>
      <c r="G13" s="2"/>
      <c r="I13" s="3">
        <v>45534</v>
      </c>
      <c r="J13" s="1" t="s">
        <v>108</v>
      </c>
      <c r="K13" s="2">
        <v>1231482</v>
      </c>
      <c r="L13" s="2">
        <v>98518</v>
      </c>
      <c r="M13" s="2">
        <f t="shared" si="1"/>
        <v>1330000</v>
      </c>
    </row>
    <row r="14" spans="2:13" x14ac:dyDescent="0.25">
      <c r="C14" s="3"/>
      <c r="D14" s="1"/>
      <c r="E14" s="2"/>
      <c r="F14" s="2"/>
      <c r="G14" s="2"/>
      <c r="I14" s="3">
        <v>45534</v>
      </c>
      <c r="J14" s="1" t="s">
        <v>109</v>
      </c>
      <c r="K14" s="2">
        <v>57818</v>
      </c>
      <c r="L14" s="2">
        <v>5782</v>
      </c>
      <c r="M14" s="2">
        <f t="shared" si="1"/>
        <v>63600</v>
      </c>
    </row>
    <row r="15" spans="2:13" x14ac:dyDescent="0.25">
      <c r="C15" s="3"/>
      <c r="D15" s="1"/>
      <c r="E15" s="2"/>
      <c r="F15" s="2"/>
      <c r="G15" s="2"/>
      <c r="I15" s="3">
        <v>45535</v>
      </c>
      <c r="J15" s="1" t="s">
        <v>40</v>
      </c>
      <c r="K15" s="2">
        <v>510455</v>
      </c>
      <c r="L15" s="2">
        <v>51046</v>
      </c>
      <c r="M15" s="2">
        <f t="shared" si="1"/>
        <v>561501</v>
      </c>
    </row>
    <row r="16" spans="2:13" x14ac:dyDescent="0.25">
      <c r="C16" s="3"/>
      <c r="D16" s="1"/>
      <c r="E16" s="2"/>
      <c r="F16" s="2"/>
      <c r="G16" s="2"/>
      <c r="I16" s="1"/>
      <c r="J16" s="1"/>
      <c r="K16" s="1"/>
      <c r="L16" s="1"/>
      <c r="M16" s="2"/>
    </row>
    <row r="17" spans="3:13" x14ac:dyDescent="0.25">
      <c r="C17" s="3"/>
      <c r="D17" s="1"/>
      <c r="E17" s="2"/>
      <c r="F17" s="2"/>
      <c r="G17" s="2"/>
      <c r="I17" s="1"/>
      <c r="J17" s="1"/>
      <c r="K17" s="1"/>
      <c r="L17" s="1"/>
      <c r="M17" s="2"/>
    </row>
    <row r="18" spans="3:13" x14ac:dyDescent="0.25">
      <c r="C18" s="3"/>
      <c r="D18" s="1"/>
      <c r="E18" s="2"/>
      <c r="F18" s="2"/>
      <c r="G18" s="2"/>
      <c r="I18" s="1"/>
      <c r="J18" s="1"/>
      <c r="K18" s="1"/>
      <c r="L18" s="1"/>
      <c r="M18" s="2"/>
    </row>
    <row r="19" spans="3:13" x14ac:dyDescent="0.25">
      <c r="C19" s="3"/>
      <c r="D19" s="1"/>
      <c r="E19" s="2"/>
      <c r="F19" s="2"/>
      <c r="G19" s="2"/>
      <c r="I19" s="1"/>
      <c r="J19" s="1"/>
      <c r="K19" s="1"/>
      <c r="L19" s="1"/>
      <c r="M19" s="2"/>
    </row>
    <row r="20" spans="3:13" x14ac:dyDescent="0.25">
      <c r="C20" s="3"/>
      <c r="D20" s="1"/>
      <c r="E20" s="2"/>
      <c r="F20" s="2"/>
      <c r="G20" s="2"/>
      <c r="I20" s="1"/>
      <c r="J20" s="1"/>
      <c r="K20" s="1"/>
      <c r="L20" s="1"/>
      <c r="M20" s="2"/>
    </row>
    <row r="21" spans="3:13" x14ac:dyDescent="0.25">
      <c r="C21" s="3"/>
      <c r="D21" s="1"/>
      <c r="E21" s="2"/>
      <c r="F21" s="2"/>
      <c r="G21" s="2"/>
      <c r="I21" s="1"/>
      <c r="J21" s="1"/>
      <c r="K21" s="1"/>
      <c r="L21" s="1"/>
      <c r="M21" s="2"/>
    </row>
    <row r="22" spans="3:13" x14ac:dyDescent="0.25">
      <c r="C22" s="3"/>
      <c r="D22" s="1"/>
      <c r="E22" s="2"/>
      <c r="F22" s="2"/>
      <c r="G22" s="2"/>
      <c r="M22" s="2"/>
    </row>
    <row r="23" spans="3:13" x14ac:dyDescent="0.25">
      <c r="C23" s="3"/>
      <c r="D23" s="1"/>
      <c r="E23" s="2"/>
      <c r="F23" s="2"/>
      <c r="G23" s="2"/>
      <c r="M23" s="2"/>
    </row>
    <row r="24" spans="3:13" x14ac:dyDescent="0.25">
      <c r="C24" s="1"/>
      <c r="D24" s="1"/>
      <c r="E24" s="1"/>
      <c r="F24" s="1"/>
      <c r="G24" s="1"/>
      <c r="M24" s="2"/>
    </row>
    <row r="25" spans="3:13" x14ac:dyDescent="0.25">
      <c r="C25" s="1"/>
      <c r="D25" s="1"/>
      <c r="E25" s="1"/>
      <c r="F25" s="1"/>
      <c r="G25" s="1"/>
      <c r="M25" s="2"/>
    </row>
    <row r="26" spans="3:13" x14ac:dyDescent="0.25">
      <c r="C26" s="1"/>
      <c r="D26" s="1"/>
      <c r="E26" s="1"/>
      <c r="F26" s="1"/>
      <c r="G26" s="1"/>
    </row>
    <row r="27" spans="3:13" x14ac:dyDescent="0.25">
      <c r="C27" s="1"/>
      <c r="D27" s="1" t="s">
        <v>8</v>
      </c>
      <c r="E27" s="2">
        <f>SUM(E4:E26)</f>
        <v>30421537</v>
      </c>
      <c r="F27" s="2">
        <f>SUM(F4:F26)</f>
        <v>2433723</v>
      </c>
      <c r="G27" s="2">
        <f>SUM(G4:G26)</f>
        <v>32855260</v>
      </c>
      <c r="I27" s="1"/>
      <c r="J27" s="1" t="s">
        <v>8</v>
      </c>
      <c r="K27" s="2">
        <f>SUM(K4:K26)</f>
        <v>30484504</v>
      </c>
      <c r="L27" s="2">
        <f>SUM(L4:L26)</f>
        <v>2459596</v>
      </c>
      <c r="M27" s="2">
        <f>SUM(M4:M26)</f>
        <v>32944100</v>
      </c>
    </row>
    <row r="28" spans="3:13" x14ac:dyDescent="0.25">
      <c r="D28" s="4"/>
      <c r="E28" s="4"/>
    </row>
    <row r="29" spans="3:13" x14ac:dyDescent="0.25">
      <c r="D29" s="4"/>
      <c r="E29" s="4"/>
    </row>
    <row r="31" spans="3:13" x14ac:dyDescent="0.25">
      <c r="E31" s="4"/>
      <c r="F31" s="4"/>
      <c r="G31" s="4"/>
      <c r="K31" s="4"/>
      <c r="L31" s="4"/>
      <c r="M31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31"/>
  <sheetViews>
    <sheetView topLeftCell="B2" workbookViewId="0">
      <selection activeCell="J7" sqref="J7"/>
    </sheetView>
  </sheetViews>
  <sheetFormatPr defaultRowHeight="15" x14ac:dyDescent="0.25"/>
  <cols>
    <col min="2" max="2" width="16.85546875" customWidth="1"/>
    <col min="3" max="3" width="10" customWidth="1"/>
    <col min="4" max="4" width="27.85546875" customWidth="1"/>
    <col min="5" max="5" width="12.42578125" customWidth="1"/>
    <col min="6" max="6" width="10.85546875" customWidth="1"/>
    <col min="7" max="7" width="11.5703125" customWidth="1"/>
    <col min="8" max="8" width="22.5703125" customWidth="1"/>
    <col min="10" max="10" width="22.85546875" customWidth="1"/>
    <col min="11" max="11" width="13.140625" customWidth="1"/>
    <col min="12" max="12" width="10.7109375" customWidth="1"/>
    <col min="13" max="13" width="12.7109375" customWidth="1"/>
  </cols>
  <sheetData>
    <row r="3" spans="2:13" x14ac:dyDescent="0.25">
      <c r="B3" s="1" t="s">
        <v>9</v>
      </c>
      <c r="C3" s="1" t="s">
        <v>0</v>
      </c>
      <c r="D3" s="1" t="s">
        <v>10</v>
      </c>
      <c r="E3" s="1" t="s">
        <v>2</v>
      </c>
      <c r="F3" s="1" t="s">
        <v>16</v>
      </c>
      <c r="G3" s="1" t="s">
        <v>17</v>
      </c>
      <c r="H3" s="1" t="s">
        <v>11</v>
      </c>
      <c r="I3" s="1" t="s">
        <v>0</v>
      </c>
      <c r="J3" s="1" t="s">
        <v>12</v>
      </c>
      <c r="K3" s="1" t="s">
        <v>1</v>
      </c>
      <c r="L3" s="1" t="s">
        <v>16</v>
      </c>
      <c r="M3" s="1" t="s">
        <v>18</v>
      </c>
    </row>
    <row r="4" spans="2:13" x14ac:dyDescent="0.25">
      <c r="C4" s="3">
        <v>45542</v>
      </c>
      <c r="D4" s="1" t="s">
        <v>111</v>
      </c>
      <c r="E4" s="2">
        <v>833333</v>
      </c>
      <c r="F4" s="2">
        <v>66667</v>
      </c>
      <c r="G4" s="2">
        <f t="shared" ref="G4:G11" si="0">SUM(E4,F4)</f>
        <v>900000</v>
      </c>
      <c r="H4" s="1"/>
      <c r="I4" s="3">
        <v>45539</v>
      </c>
      <c r="J4" s="1" t="s">
        <v>110</v>
      </c>
      <c r="K4" s="2">
        <v>23891</v>
      </c>
      <c r="L4" s="2">
        <v>2389</v>
      </c>
      <c r="M4" s="2">
        <f>SUM(K4,L4)</f>
        <v>26280</v>
      </c>
    </row>
    <row r="5" spans="2:13" x14ac:dyDescent="0.25">
      <c r="C5" s="3">
        <v>45545</v>
      </c>
      <c r="D5" s="1" t="s">
        <v>112</v>
      </c>
      <c r="E5" s="2">
        <v>7870370</v>
      </c>
      <c r="F5" s="2">
        <v>629630</v>
      </c>
      <c r="G5" s="2">
        <f t="shared" si="0"/>
        <v>8500000</v>
      </c>
      <c r="I5" s="3">
        <v>45548</v>
      </c>
      <c r="J5" s="1" t="s">
        <v>113</v>
      </c>
      <c r="K5" s="2">
        <v>7951037</v>
      </c>
      <c r="L5" s="2">
        <v>636083</v>
      </c>
      <c r="M5" s="2">
        <f t="shared" ref="M5:M14" si="1">SUM(K5,L5)</f>
        <v>8587120</v>
      </c>
    </row>
    <row r="6" spans="2:13" x14ac:dyDescent="0.25">
      <c r="C6" s="3">
        <v>45555</v>
      </c>
      <c r="D6" s="1" t="s">
        <v>35</v>
      </c>
      <c r="E6" s="2">
        <v>9068000</v>
      </c>
      <c r="F6" s="2">
        <v>725440</v>
      </c>
      <c r="G6" s="2">
        <f t="shared" si="0"/>
        <v>9793440</v>
      </c>
      <c r="I6" s="3">
        <v>45544</v>
      </c>
      <c r="J6" s="1" t="s">
        <v>79</v>
      </c>
      <c r="K6" s="2">
        <v>1478858</v>
      </c>
      <c r="L6" s="2">
        <v>81280</v>
      </c>
      <c r="M6" s="2">
        <f t="shared" si="1"/>
        <v>1560138</v>
      </c>
    </row>
    <row r="7" spans="2:13" x14ac:dyDescent="0.25">
      <c r="C7" s="3">
        <v>45565</v>
      </c>
      <c r="D7" s="1" t="s">
        <v>117</v>
      </c>
      <c r="E7" s="2">
        <v>740741</v>
      </c>
      <c r="F7" s="2">
        <v>59259</v>
      </c>
      <c r="G7" s="2">
        <f t="shared" si="0"/>
        <v>800000</v>
      </c>
      <c r="I7" s="3">
        <v>45537</v>
      </c>
      <c r="J7" s="1" t="s">
        <v>55</v>
      </c>
      <c r="K7" s="2">
        <v>13209439</v>
      </c>
      <c r="L7" s="2">
        <v>1056755</v>
      </c>
      <c r="M7" s="2">
        <f t="shared" si="1"/>
        <v>14266194</v>
      </c>
    </row>
    <row r="8" spans="2:13" x14ac:dyDescent="0.25">
      <c r="C8" s="3"/>
      <c r="D8" s="1"/>
      <c r="E8" s="2"/>
      <c r="F8" s="2"/>
      <c r="G8" s="2">
        <f t="shared" si="0"/>
        <v>0</v>
      </c>
      <c r="I8" s="3">
        <v>45555</v>
      </c>
      <c r="J8" s="1" t="s">
        <v>114</v>
      </c>
      <c r="K8" s="2">
        <v>3900000</v>
      </c>
      <c r="L8" s="2">
        <v>390000</v>
      </c>
      <c r="M8" s="2">
        <f t="shared" si="1"/>
        <v>4290000</v>
      </c>
    </row>
    <row r="9" spans="2:13" x14ac:dyDescent="0.25">
      <c r="C9" s="3"/>
      <c r="D9" s="1"/>
      <c r="E9" s="2"/>
      <c r="F9" s="2"/>
      <c r="G9" s="2">
        <f t="shared" si="0"/>
        <v>0</v>
      </c>
      <c r="I9" s="3">
        <v>45540</v>
      </c>
      <c r="J9" s="1" t="s">
        <v>61</v>
      </c>
      <c r="K9" s="2">
        <v>240909</v>
      </c>
      <c r="L9" s="2">
        <v>19273</v>
      </c>
      <c r="M9" s="2">
        <f t="shared" si="1"/>
        <v>260182</v>
      </c>
    </row>
    <row r="10" spans="2:13" x14ac:dyDescent="0.25">
      <c r="C10" s="3"/>
      <c r="D10" s="1"/>
      <c r="E10" s="2"/>
      <c r="F10" s="2"/>
      <c r="G10" s="2">
        <f t="shared" si="0"/>
        <v>0</v>
      </c>
      <c r="I10" s="3">
        <v>45558</v>
      </c>
      <c r="J10" s="1" t="s">
        <v>115</v>
      </c>
      <c r="K10" s="2">
        <v>1335186</v>
      </c>
      <c r="L10" s="2">
        <v>106815</v>
      </c>
      <c r="M10" s="2">
        <f t="shared" si="1"/>
        <v>1442001</v>
      </c>
    </row>
    <row r="11" spans="2:13" x14ac:dyDescent="0.25">
      <c r="C11" s="3"/>
      <c r="D11" s="1"/>
      <c r="E11" s="2"/>
      <c r="F11" s="2"/>
      <c r="G11" s="2">
        <f t="shared" si="0"/>
        <v>0</v>
      </c>
      <c r="I11" s="3">
        <v>45565</v>
      </c>
      <c r="J11" s="1" t="s">
        <v>116</v>
      </c>
      <c r="K11" s="2">
        <v>109102</v>
      </c>
      <c r="L11" s="2">
        <v>10910</v>
      </c>
      <c r="M11" s="2">
        <f t="shared" si="1"/>
        <v>120012</v>
      </c>
    </row>
    <row r="12" spans="2:13" x14ac:dyDescent="0.25">
      <c r="C12" s="3"/>
      <c r="D12" s="1"/>
      <c r="E12" s="2"/>
      <c r="F12" s="2"/>
      <c r="G12" s="2"/>
      <c r="I12" s="3">
        <v>45563</v>
      </c>
      <c r="J12" s="1" t="s">
        <v>43</v>
      </c>
      <c r="K12" s="2">
        <v>2024000</v>
      </c>
      <c r="L12" s="2">
        <v>161920</v>
      </c>
      <c r="M12" s="2">
        <f t="shared" si="1"/>
        <v>2185920</v>
      </c>
    </row>
    <row r="13" spans="2:13" x14ac:dyDescent="0.25">
      <c r="C13" s="3"/>
      <c r="D13" s="1"/>
      <c r="E13" s="2"/>
      <c r="F13" s="2"/>
      <c r="G13" s="2"/>
      <c r="I13" s="3">
        <v>45565</v>
      </c>
      <c r="J13" s="1" t="s">
        <v>40</v>
      </c>
      <c r="K13" s="2">
        <v>510455</v>
      </c>
      <c r="L13" s="2">
        <v>51046</v>
      </c>
      <c r="M13" s="2">
        <f t="shared" si="1"/>
        <v>561501</v>
      </c>
    </row>
    <row r="14" spans="2:13" x14ac:dyDescent="0.25">
      <c r="C14" s="3"/>
      <c r="D14" s="1"/>
      <c r="E14" s="2"/>
      <c r="F14" s="2"/>
      <c r="G14" s="2"/>
      <c r="I14" s="3"/>
      <c r="J14" s="1"/>
      <c r="K14" s="2"/>
      <c r="L14" s="2"/>
      <c r="M14" s="2">
        <f t="shared" si="1"/>
        <v>0</v>
      </c>
    </row>
    <row r="15" spans="2:13" x14ac:dyDescent="0.25">
      <c r="C15" s="3"/>
      <c r="D15" s="1"/>
      <c r="E15" s="2"/>
      <c r="F15" s="2"/>
      <c r="G15" s="2"/>
      <c r="I15" s="3"/>
      <c r="J15" s="1"/>
      <c r="K15" s="2"/>
      <c r="L15" s="2"/>
      <c r="M15" s="2"/>
    </row>
    <row r="16" spans="2:13" x14ac:dyDescent="0.25">
      <c r="C16" s="3"/>
      <c r="D16" s="1"/>
      <c r="E16" s="2"/>
      <c r="F16" s="2"/>
      <c r="G16" s="2"/>
      <c r="I16" s="1"/>
      <c r="J16" s="1"/>
      <c r="K16" s="1"/>
      <c r="L16" s="1"/>
      <c r="M16" s="2"/>
    </row>
    <row r="17" spans="3:13" x14ac:dyDescent="0.25">
      <c r="C17" s="3"/>
      <c r="D17" s="1"/>
      <c r="E17" s="2"/>
      <c r="F17" s="2"/>
      <c r="G17" s="2"/>
      <c r="I17" s="1"/>
      <c r="J17" s="1"/>
      <c r="K17" s="1"/>
      <c r="L17" s="1"/>
      <c r="M17" s="2"/>
    </row>
    <row r="18" spans="3:13" x14ac:dyDescent="0.25">
      <c r="C18" s="3"/>
      <c r="D18" s="1"/>
      <c r="E18" s="2"/>
      <c r="F18" s="2"/>
      <c r="G18" s="2"/>
      <c r="I18" s="1"/>
      <c r="J18" s="1"/>
      <c r="K18" s="1"/>
      <c r="L18" s="1"/>
      <c r="M18" s="2"/>
    </row>
    <row r="19" spans="3:13" x14ac:dyDescent="0.25">
      <c r="C19" s="3"/>
      <c r="D19" s="1"/>
      <c r="E19" s="2"/>
      <c r="F19" s="2"/>
      <c r="G19" s="2"/>
      <c r="I19" s="1"/>
      <c r="J19" s="1"/>
      <c r="K19" s="1"/>
      <c r="L19" s="1"/>
      <c r="M19" s="2"/>
    </row>
    <row r="20" spans="3:13" x14ac:dyDescent="0.25">
      <c r="C20" s="3"/>
      <c r="D20" s="1"/>
      <c r="E20" s="2"/>
      <c r="F20" s="2"/>
      <c r="G20" s="2"/>
      <c r="I20" s="1"/>
      <c r="J20" s="1"/>
      <c r="K20" s="1"/>
      <c r="L20" s="1"/>
      <c r="M20" s="2"/>
    </row>
    <row r="21" spans="3:13" x14ac:dyDescent="0.25">
      <c r="C21" s="3"/>
      <c r="D21" s="1"/>
      <c r="E21" s="2"/>
      <c r="F21" s="2"/>
      <c r="G21" s="2"/>
      <c r="I21" s="1"/>
      <c r="J21" s="1"/>
      <c r="K21" s="1"/>
      <c r="L21" s="1"/>
      <c r="M21" s="2"/>
    </row>
    <row r="22" spans="3:13" x14ac:dyDescent="0.25">
      <c r="C22" s="3"/>
      <c r="D22" s="1"/>
      <c r="E22" s="2"/>
      <c r="F22" s="2"/>
      <c r="G22" s="2"/>
      <c r="M22" s="2"/>
    </row>
    <row r="23" spans="3:13" x14ac:dyDescent="0.25">
      <c r="C23" s="3"/>
      <c r="D23" s="1"/>
      <c r="E23" s="2"/>
      <c r="F23" s="2"/>
      <c r="G23" s="2"/>
      <c r="M23" s="2"/>
    </row>
    <row r="24" spans="3:13" x14ac:dyDescent="0.25">
      <c r="C24" s="1"/>
      <c r="D24" s="1"/>
      <c r="E24" s="1"/>
      <c r="F24" s="1"/>
      <c r="G24" s="1"/>
      <c r="M24" s="2"/>
    </row>
    <row r="25" spans="3:13" x14ac:dyDescent="0.25">
      <c r="C25" s="1"/>
      <c r="D25" s="1"/>
      <c r="E25" s="1"/>
      <c r="F25" s="1"/>
      <c r="G25" s="1"/>
      <c r="M25" s="2"/>
    </row>
    <row r="26" spans="3:13" x14ac:dyDescent="0.25">
      <c r="C26" s="1"/>
      <c r="D26" s="1"/>
      <c r="E26" s="1"/>
      <c r="F26" s="1"/>
      <c r="G26" s="1"/>
    </row>
    <row r="27" spans="3:13" x14ac:dyDescent="0.25">
      <c r="C27" s="1"/>
      <c r="D27" s="1" t="s">
        <v>8</v>
      </c>
      <c r="E27" s="2">
        <f>SUM(E4:E26)</f>
        <v>18512444</v>
      </c>
      <c r="F27" s="2">
        <f>SUM(F4:F26)</f>
        <v>1480996</v>
      </c>
      <c r="G27" s="2">
        <f>SUM(G4:G26)</f>
        <v>19993440</v>
      </c>
      <c r="I27" s="1"/>
      <c r="J27" s="1" t="s">
        <v>8</v>
      </c>
      <c r="K27" s="2">
        <f>SUM(K4:K26)</f>
        <v>30782877</v>
      </c>
      <c r="L27" s="2">
        <f>SUM(L4:L26)</f>
        <v>2516471</v>
      </c>
      <c r="M27" s="2">
        <f>SUM(M4:M26)</f>
        <v>33299348</v>
      </c>
    </row>
    <row r="28" spans="3:13" x14ac:dyDescent="0.25">
      <c r="D28" s="4"/>
      <c r="E28" s="4"/>
    </row>
    <row r="29" spans="3:13" x14ac:dyDescent="0.25">
      <c r="D29" s="4"/>
      <c r="E29" s="4"/>
    </row>
    <row r="31" spans="3:13" x14ac:dyDescent="0.25">
      <c r="E31" s="4"/>
      <c r="F31" s="4"/>
      <c r="G31" s="4"/>
      <c r="K31" s="4"/>
      <c r="L31" s="4"/>
      <c r="M31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31"/>
  <sheetViews>
    <sheetView workbookViewId="0">
      <selection activeCell="Q13" sqref="Q13"/>
    </sheetView>
  </sheetViews>
  <sheetFormatPr defaultRowHeight="15" x14ac:dyDescent="0.25"/>
  <cols>
    <col min="2" max="2" width="16.85546875" customWidth="1"/>
    <col min="3" max="3" width="10" customWidth="1"/>
    <col min="4" max="4" width="27.85546875" customWidth="1"/>
    <col min="5" max="5" width="12.42578125" customWidth="1"/>
    <col min="6" max="6" width="10.85546875" customWidth="1"/>
    <col min="7" max="7" width="11.5703125" customWidth="1"/>
    <col min="8" max="8" width="22.5703125" customWidth="1"/>
    <col min="10" max="10" width="22.85546875" customWidth="1"/>
    <col min="11" max="11" width="13.140625" customWidth="1"/>
    <col min="12" max="12" width="10.7109375" customWidth="1"/>
    <col min="13" max="13" width="12.7109375" customWidth="1"/>
  </cols>
  <sheetData>
    <row r="3" spans="2:13" x14ac:dyDescent="0.25">
      <c r="B3" s="1" t="s">
        <v>9</v>
      </c>
      <c r="C3" s="1" t="s">
        <v>0</v>
      </c>
      <c r="D3" s="1" t="s">
        <v>10</v>
      </c>
      <c r="E3" s="1" t="s">
        <v>2</v>
      </c>
      <c r="F3" s="1" t="s">
        <v>16</v>
      </c>
      <c r="G3" s="1" t="s">
        <v>17</v>
      </c>
      <c r="H3" s="1" t="s">
        <v>11</v>
      </c>
      <c r="I3" s="1" t="s">
        <v>0</v>
      </c>
      <c r="J3" s="1" t="s">
        <v>12</v>
      </c>
      <c r="K3" s="1" t="s">
        <v>1</v>
      </c>
      <c r="L3" s="1" t="s">
        <v>16</v>
      </c>
      <c r="M3" s="1" t="s">
        <v>18</v>
      </c>
    </row>
    <row r="4" spans="2:13" x14ac:dyDescent="0.25">
      <c r="C4" s="3">
        <v>45569</v>
      </c>
      <c r="D4" s="1" t="s">
        <v>119</v>
      </c>
      <c r="E4" s="2">
        <v>370370</v>
      </c>
      <c r="F4" s="2">
        <v>29630</v>
      </c>
      <c r="G4" s="2">
        <f>SUM(E4:F4)</f>
        <v>400000</v>
      </c>
      <c r="H4" s="1"/>
      <c r="I4" s="3">
        <v>45567</v>
      </c>
      <c r="J4" s="1" t="s">
        <v>23</v>
      </c>
      <c r="K4" s="2">
        <v>9396470</v>
      </c>
      <c r="L4" s="2">
        <v>751718</v>
      </c>
      <c r="M4" s="2">
        <f>SUM(K4:L4)</f>
        <v>10148188</v>
      </c>
    </row>
    <row r="5" spans="2:13" x14ac:dyDescent="0.25">
      <c r="C5" s="3">
        <v>45574</v>
      </c>
      <c r="D5" s="1" t="s">
        <v>120</v>
      </c>
      <c r="E5" s="2">
        <v>277778</v>
      </c>
      <c r="F5" s="2">
        <v>22222</v>
      </c>
      <c r="G5" s="2">
        <f t="shared" ref="G5:G21" si="0">SUM(E5:F5)</f>
        <v>300000</v>
      </c>
      <c r="I5" s="3">
        <v>45569</v>
      </c>
      <c r="J5" s="1" t="s">
        <v>118</v>
      </c>
      <c r="K5" s="2">
        <v>20341</v>
      </c>
      <c r="L5" s="2">
        <v>2034</v>
      </c>
      <c r="M5" s="2">
        <f t="shared" ref="M5:M20" si="1">SUM(K5:L5)</f>
        <v>22375</v>
      </c>
    </row>
    <row r="6" spans="2:13" x14ac:dyDescent="0.25">
      <c r="C6" s="3">
        <v>45574</v>
      </c>
      <c r="D6" s="1" t="s">
        <v>121</v>
      </c>
      <c r="E6" s="2">
        <v>6481481</v>
      </c>
      <c r="F6" s="2">
        <v>518519</v>
      </c>
      <c r="G6" s="2">
        <f t="shared" si="0"/>
        <v>7000000</v>
      </c>
      <c r="I6" s="3">
        <v>45571</v>
      </c>
      <c r="J6" s="1" t="s">
        <v>33</v>
      </c>
      <c r="K6" s="2">
        <v>4963000</v>
      </c>
      <c r="L6" s="2">
        <v>397040</v>
      </c>
      <c r="M6" s="2">
        <f t="shared" si="1"/>
        <v>5360040</v>
      </c>
    </row>
    <row r="7" spans="2:13" x14ac:dyDescent="0.25">
      <c r="C7" s="3">
        <v>45579</v>
      </c>
      <c r="D7" s="1" t="s">
        <v>123</v>
      </c>
      <c r="E7" s="2">
        <v>6018519</v>
      </c>
      <c r="F7" s="2">
        <v>481481</v>
      </c>
      <c r="G7" s="2">
        <f t="shared" si="0"/>
        <v>6500000</v>
      </c>
      <c r="I7" s="3">
        <v>45574</v>
      </c>
      <c r="J7" s="1" t="s">
        <v>43</v>
      </c>
      <c r="K7" s="2">
        <v>2199000</v>
      </c>
      <c r="L7" s="2">
        <v>176520</v>
      </c>
      <c r="M7" s="2">
        <f t="shared" si="1"/>
        <v>2375520</v>
      </c>
    </row>
    <row r="8" spans="2:13" x14ac:dyDescent="0.25">
      <c r="C8" s="3">
        <v>45579</v>
      </c>
      <c r="D8" s="1" t="s">
        <v>124</v>
      </c>
      <c r="E8" s="2">
        <v>6481481</v>
      </c>
      <c r="F8" s="2">
        <v>518519</v>
      </c>
      <c r="G8" s="2">
        <f t="shared" si="0"/>
        <v>7000000</v>
      </c>
      <c r="I8" s="3">
        <v>45574</v>
      </c>
      <c r="J8" s="1" t="s">
        <v>122</v>
      </c>
      <c r="K8" s="2">
        <v>500000</v>
      </c>
      <c r="L8" s="2">
        <v>50000</v>
      </c>
      <c r="M8" s="2">
        <f t="shared" si="1"/>
        <v>550000</v>
      </c>
    </row>
    <row r="9" spans="2:13" x14ac:dyDescent="0.25">
      <c r="C9" s="3">
        <v>45585</v>
      </c>
      <c r="D9" s="1" t="s">
        <v>125</v>
      </c>
      <c r="E9" s="2">
        <v>1666667</v>
      </c>
      <c r="F9" s="2">
        <v>133333</v>
      </c>
      <c r="G9" s="2">
        <f t="shared" si="0"/>
        <v>1800000</v>
      </c>
      <c r="I9" s="3">
        <v>45575</v>
      </c>
      <c r="J9" s="1" t="s">
        <v>79</v>
      </c>
      <c r="K9" s="2">
        <v>2156669</v>
      </c>
      <c r="L9" s="2">
        <v>118534</v>
      </c>
      <c r="M9" s="2">
        <f t="shared" si="1"/>
        <v>2275203</v>
      </c>
    </row>
    <row r="10" spans="2:13" x14ac:dyDescent="0.25">
      <c r="C10" s="3">
        <v>45585</v>
      </c>
      <c r="D10" s="1" t="s">
        <v>35</v>
      </c>
      <c r="E10" s="2">
        <v>8830000</v>
      </c>
      <c r="F10" s="2">
        <v>706400</v>
      </c>
      <c r="G10" s="2">
        <f t="shared" si="0"/>
        <v>9536400</v>
      </c>
      <c r="I10" s="3">
        <v>45569</v>
      </c>
      <c r="J10" s="1" t="s">
        <v>74</v>
      </c>
      <c r="K10" s="2">
        <v>240909</v>
      </c>
      <c r="L10" s="2">
        <v>19273</v>
      </c>
      <c r="M10" s="2">
        <f t="shared" si="1"/>
        <v>260182</v>
      </c>
    </row>
    <row r="11" spans="2:13" x14ac:dyDescent="0.25">
      <c r="C11" s="3">
        <v>45588</v>
      </c>
      <c r="D11" s="1" t="s">
        <v>126</v>
      </c>
      <c r="E11" s="2">
        <v>1111111</v>
      </c>
      <c r="F11" s="2">
        <v>88889</v>
      </c>
      <c r="G11" s="2">
        <f t="shared" si="0"/>
        <v>1200000</v>
      </c>
      <c r="I11" s="3">
        <v>45596</v>
      </c>
      <c r="J11" s="1" t="s">
        <v>109</v>
      </c>
      <c r="K11" s="2">
        <v>384159</v>
      </c>
      <c r="L11" s="2">
        <v>38416</v>
      </c>
      <c r="M11" s="2">
        <f t="shared" si="1"/>
        <v>422575</v>
      </c>
    </row>
    <row r="12" spans="2:13" x14ac:dyDescent="0.25">
      <c r="C12" s="3">
        <v>45591</v>
      </c>
      <c r="D12" s="1" t="s">
        <v>127</v>
      </c>
      <c r="E12" s="2">
        <v>740741</v>
      </c>
      <c r="F12" s="2">
        <v>59259</v>
      </c>
      <c r="G12" s="2">
        <f t="shared" si="0"/>
        <v>800000</v>
      </c>
      <c r="I12" s="3">
        <v>45596</v>
      </c>
      <c r="J12" s="1" t="s">
        <v>50</v>
      </c>
      <c r="K12" s="2">
        <v>510455</v>
      </c>
      <c r="L12" s="2">
        <v>51046</v>
      </c>
      <c r="M12" s="2">
        <f t="shared" si="1"/>
        <v>561501</v>
      </c>
    </row>
    <row r="13" spans="2:13" x14ac:dyDescent="0.25">
      <c r="C13" s="3">
        <v>45591</v>
      </c>
      <c r="D13" s="1" t="s">
        <v>128</v>
      </c>
      <c r="E13" s="2">
        <v>740741</v>
      </c>
      <c r="F13" s="2">
        <v>59259</v>
      </c>
      <c r="G13" s="2">
        <f>SUM(E13:F13)</f>
        <v>800000</v>
      </c>
      <c r="I13" s="3">
        <v>45934</v>
      </c>
      <c r="J13" s="1" t="s">
        <v>80</v>
      </c>
      <c r="K13" s="2">
        <v>4353720</v>
      </c>
      <c r="L13" s="2"/>
      <c r="M13" s="2">
        <f t="shared" si="1"/>
        <v>4353720</v>
      </c>
    </row>
    <row r="14" spans="2:13" x14ac:dyDescent="0.25">
      <c r="C14" s="3">
        <v>45591</v>
      </c>
      <c r="D14" s="1" t="s">
        <v>129</v>
      </c>
      <c r="E14" s="2">
        <v>833333</v>
      </c>
      <c r="F14" s="2">
        <v>66667</v>
      </c>
      <c r="G14" s="2">
        <f t="shared" si="0"/>
        <v>900000</v>
      </c>
      <c r="I14" s="3"/>
      <c r="J14" s="1"/>
      <c r="K14" s="2"/>
      <c r="L14" s="2"/>
      <c r="M14" s="2">
        <f t="shared" si="1"/>
        <v>0</v>
      </c>
    </row>
    <row r="15" spans="2:13" x14ac:dyDescent="0.25">
      <c r="C15" s="3">
        <v>45593</v>
      </c>
      <c r="D15" s="1" t="s">
        <v>130</v>
      </c>
      <c r="E15" s="2">
        <v>833333</v>
      </c>
      <c r="F15" s="2">
        <v>66667</v>
      </c>
      <c r="G15" s="2">
        <f t="shared" si="0"/>
        <v>900000</v>
      </c>
      <c r="I15" s="3"/>
      <c r="J15" s="1"/>
      <c r="K15" s="2"/>
      <c r="L15" s="2"/>
      <c r="M15" s="2">
        <f t="shared" si="1"/>
        <v>0</v>
      </c>
    </row>
    <row r="16" spans="2:13" x14ac:dyDescent="0.25">
      <c r="C16" s="3"/>
      <c r="D16" s="1"/>
      <c r="E16" s="2"/>
      <c r="F16" s="2"/>
      <c r="G16" s="2">
        <f t="shared" si="0"/>
        <v>0</v>
      </c>
      <c r="I16" s="1"/>
      <c r="J16" s="1"/>
      <c r="K16" s="1"/>
      <c r="L16" s="1"/>
      <c r="M16" s="2">
        <f t="shared" si="1"/>
        <v>0</v>
      </c>
    </row>
    <row r="17" spans="3:13" x14ac:dyDescent="0.25">
      <c r="C17" s="3"/>
      <c r="D17" s="1"/>
      <c r="E17" s="2"/>
      <c r="F17" s="2"/>
      <c r="G17" s="2">
        <f t="shared" si="0"/>
        <v>0</v>
      </c>
      <c r="I17" s="1"/>
      <c r="J17" s="1"/>
      <c r="K17" s="1"/>
      <c r="L17" s="1"/>
      <c r="M17" s="2">
        <f t="shared" si="1"/>
        <v>0</v>
      </c>
    </row>
    <row r="18" spans="3:13" x14ac:dyDescent="0.25">
      <c r="C18" s="3"/>
      <c r="D18" s="1"/>
      <c r="E18" s="2"/>
      <c r="F18" s="2"/>
      <c r="G18" s="2">
        <f t="shared" si="0"/>
        <v>0</v>
      </c>
      <c r="I18" s="1"/>
      <c r="J18" s="1"/>
      <c r="K18" s="1"/>
      <c r="L18" s="1"/>
      <c r="M18" s="2">
        <f t="shared" si="1"/>
        <v>0</v>
      </c>
    </row>
    <row r="19" spans="3:13" x14ac:dyDescent="0.25">
      <c r="C19" s="3"/>
      <c r="D19" s="1"/>
      <c r="E19" s="2"/>
      <c r="F19" s="2"/>
      <c r="G19" s="2">
        <f t="shared" si="0"/>
        <v>0</v>
      </c>
      <c r="I19" s="1"/>
      <c r="J19" s="1"/>
      <c r="K19" s="1"/>
      <c r="L19" s="1"/>
      <c r="M19" s="2">
        <f t="shared" si="1"/>
        <v>0</v>
      </c>
    </row>
    <row r="20" spans="3:13" x14ac:dyDescent="0.25">
      <c r="C20" s="3"/>
      <c r="D20" s="1"/>
      <c r="E20" s="2"/>
      <c r="F20" s="2"/>
      <c r="G20" s="2">
        <f t="shared" si="0"/>
        <v>0</v>
      </c>
      <c r="I20" s="1"/>
      <c r="J20" s="1"/>
      <c r="K20" s="1"/>
      <c r="L20" s="1"/>
      <c r="M20" s="2">
        <f t="shared" si="1"/>
        <v>0</v>
      </c>
    </row>
    <row r="21" spans="3:13" x14ac:dyDescent="0.25">
      <c r="C21" s="3"/>
      <c r="D21" s="1"/>
      <c r="E21" s="2"/>
      <c r="F21" s="2"/>
      <c r="G21" s="2">
        <f t="shared" si="0"/>
        <v>0</v>
      </c>
      <c r="I21" s="1"/>
      <c r="J21" s="1"/>
      <c r="K21" s="1"/>
      <c r="L21" s="1"/>
      <c r="M21" s="2"/>
    </row>
    <row r="22" spans="3:13" x14ac:dyDescent="0.25">
      <c r="C22" s="3"/>
      <c r="D22" s="1"/>
      <c r="E22" s="2"/>
      <c r="F22" s="2"/>
      <c r="G22" s="2"/>
      <c r="M22" s="2"/>
    </row>
    <row r="23" spans="3:13" x14ac:dyDescent="0.25">
      <c r="C23" s="3"/>
      <c r="D23" s="1"/>
      <c r="E23" s="2"/>
      <c r="F23" s="2"/>
      <c r="G23" s="2"/>
      <c r="M23" s="2"/>
    </row>
    <row r="24" spans="3:13" x14ac:dyDescent="0.25">
      <c r="C24" s="1"/>
      <c r="D24" s="1"/>
      <c r="E24" s="1"/>
      <c r="F24" s="1"/>
      <c r="G24" s="1"/>
      <c r="M24" s="2"/>
    </row>
    <row r="25" spans="3:13" x14ac:dyDescent="0.25">
      <c r="C25" s="1"/>
      <c r="D25" s="1"/>
      <c r="E25" s="1"/>
      <c r="F25" s="1"/>
      <c r="G25" s="1"/>
      <c r="M25" s="2"/>
    </row>
    <row r="26" spans="3:13" x14ac:dyDescent="0.25">
      <c r="C26" s="1"/>
      <c r="D26" s="1"/>
      <c r="E26" s="1"/>
      <c r="F26" s="1"/>
      <c r="G26" s="1"/>
    </row>
    <row r="27" spans="3:13" x14ac:dyDescent="0.25">
      <c r="C27" s="1"/>
      <c r="D27" s="1" t="s">
        <v>8</v>
      </c>
      <c r="E27" s="2">
        <f>SUM(E4:E26)</f>
        <v>34385555</v>
      </c>
      <c r="F27" s="2">
        <f>SUM(F4:F26)</f>
        <v>2750845</v>
      </c>
      <c r="G27" s="2">
        <f>SUM(G4:G26)</f>
        <v>37136400</v>
      </c>
      <c r="I27" s="1"/>
      <c r="J27" s="1" t="s">
        <v>8</v>
      </c>
      <c r="K27" s="2">
        <f>SUM(K4:K26)</f>
        <v>24724723</v>
      </c>
      <c r="L27" s="2">
        <f>SUM(L4:L26)</f>
        <v>1604581</v>
      </c>
      <c r="M27" s="2">
        <f>SUM(M4:M26)</f>
        <v>26329304</v>
      </c>
    </row>
    <row r="28" spans="3:13" x14ac:dyDescent="0.25">
      <c r="D28" s="4"/>
      <c r="E28" s="4"/>
    </row>
    <row r="29" spans="3:13" x14ac:dyDescent="0.25">
      <c r="D29" s="4"/>
      <c r="E29" s="4"/>
    </row>
    <row r="31" spans="3:13" x14ac:dyDescent="0.25">
      <c r="E31" s="4"/>
      <c r="F31" s="4"/>
      <c r="G31" s="4"/>
      <c r="K31" s="4"/>
      <c r="L31" s="4"/>
      <c r="M31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31"/>
  <sheetViews>
    <sheetView workbookViewId="0">
      <selection activeCell="L8" sqref="L8"/>
    </sheetView>
  </sheetViews>
  <sheetFormatPr defaultRowHeight="15" x14ac:dyDescent="0.25"/>
  <cols>
    <col min="2" max="2" width="16.85546875" customWidth="1"/>
    <col min="3" max="3" width="10" customWidth="1"/>
    <col min="4" max="4" width="27.85546875" customWidth="1"/>
    <col min="5" max="5" width="12.42578125" customWidth="1"/>
    <col min="6" max="6" width="10.85546875" customWidth="1"/>
    <col min="7" max="7" width="11.5703125" customWidth="1"/>
    <col min="8" max="8" width="22.5703125" customWidth="1"/>
    <col min="10" max="10" width="22.85546875" customWidth="1"/>
    <col min="11" max="11" width="13.140625" customWidth="1"/>
    <col min="12" max="12" width="10.7109375" customWidth="1"/>
    <col min="13" max="13" width="12.7109375" customWidth="1"/>
  </cols>
  <sheetData>
    <row r="3" spans="2:13" x14ac:dyDescent="0.25">
      <c r="B3" s="1" t="s">
        <v>9</v>
      </c>
      <c r="C3" s="1" t="s">
        <v>0</v>
      </c>
      <c r="D3" s="1" t="s">
        <v>10</v>
      </c>
      <c r="E3" s="1" t="s">
        <v>2</v>
      </c>
      <c r="F3" s="1" t="s">
        <v>16</v>
      </c>
      <c r="G3" s="1" t="s">
        <v>17</v>
      </c>
      <c r="H3" s="1" t="s">
        <v>11</v>
      </c>
      <c r="I3" s="1" t="s">
        <v>0</v>
      </c>
      <c r="J3" s="1" t="s">
        <v>12</v>
      </c>
      <c r="K3" s="1" t="s">
        <v>1</v>
      </c>
      <c r="L3" s="1" t="s">
        <v>16</v>
      </c>
      <c r="M3" s="1" t="s">
        <v>18</v>
      </c>
    </row>
    <row r="4" spans="2:13" x14ac:dyDescent="0.25">
      <c r="C4" s="3">
        <v>45603</v>
      </c>
      <c r="D4" s="1" t="s">
        <v>132</v>
      </c>
      <c r="E4" s="2">
        <v>6481481</v>
      </c>
      <c r="F4" s="2">
        <v>518519</v>
      </c>
      <c r="G4" s="2">
        <f>SUM(E4:F4)</f>
        <v>7000000</v>
      </c>
      <c r="H4" s="1"/>
      <c r="I4" s="3">
        <v>45599</v>
      </c>
      <c r="J4" s="1" t="s">
        <v>55</v>
      </c>
      <c r="K4" s="2">
        <v>10673058</v>
      </c>
      <c r="L4" s="2">
        <v>853845</v>
      </c>
      <c r="M4" s="2">
        <f>SUM(K4:L4)</f>
        <v>11526903</v>
      </c>
    </row>
    <row r="5" spans="2:13" x14ac:dyDescent="0.25">
      <c r="C5" s="3">
        <v>45616</v>
      </c>
      <c r="D5" s="1" t="s">
        <v>7</v>
      </c>
      <c r="E5" s="2">
        <v>8623500</v>
      </c>
      <c r="F5" s="2">
        <v>689880</v>
      </c>
      <c r="G5" s="2">
        <f t="shared" ref="G5:G21" si="0">SUM(E5:F5)</f>
        <v>9313380</v>
      </c>
      <c r="I5" s="3">
        <v>45600</v>
      </c>
      <c r="J5" s="1" t="s">
        <v>131</v>
      </c>
      <c r="K5" s="2">
        <v>21084</v>
      </c>
      <c r="L5" s="2">
        <v>2108</v>
      </c>
      <c r="M5" s="2">
        <f t="shared" ref="M5:M20" si="1">SUM(K5:L5)</f>
        <v>23192</v>
      </c>
    </row>
    <row r="6" spans="2:13" x14ac:dyDescent="0.25">
      <c r="C6" s="3"/>
      <c r="D6" s="1"/>
      <c r="E6" s="2"/>
      <c r="F6" s="2"/>
      <c r="G6" s="2">
        <f t="shared" si="0"/>
        <v>0</v>
      </c>
      <c r="I6" s="3">
        <v>45600</v>
      </c>
      <c r="J6" s="1" t="s">
        <v>133</v>
      </c>
      <c r="K6" s="2">
        <v>240909</v>
      </c>
      <c r="L6" s="2">
        <v>19273</v>
      </c>
      <c r="M6" s="2">
        <f t="shared" si="1"/>
        <v>260182</v>
      </c>
    </row>
    <row r="7" spans="2:13" x14ac:dyDescent="0.25">
      <c r="C7" s="3"/>
      <c r="D7" s="1"/>
      <c r="E7" s="2"/>
      <c r="F7" s="2"/>
      <c r="G7" s="2">
        <f t="shared" si="0"/>
        <v>0</v>
      </c>
      <c r="I7" s="3">
        <v>45611</v>
      </c>
      <c r="J7" s="1" t="s">
        <v>47</v>
      </c>
      <c r="K7" s="2">
        <v>1263000</v>
      </c>
      <c r="L7" s="2">
        <v>101040</v>
      </c>
      <c r="M7" s="2">
        <f t="shared" si="1"/>
        <v>1364040</v>
      </c>
    </row>
    <row r="8" spans="2:13" x14ac:dyDescent="0.25">
      <c r="C8" s="3"/>
      <c r="D8" s="1"/>
      <c r="E8" s="2"/>
      <c r="F8" s="2"/>
      <c r="G8" s="2">
        <f t="shared" si="0"/>
        <v>0</v>
      </c>
      <c r="I8" s="3">
        <v>45615</v>
      </c>
      <c r="J8" s="1" t="s">
        <v>43</v>
      </c>
      <c r="K8" s="2">
        <v>2574460</v>
      </c>
      <c r="L8" s="2"/>
      <c r="M8" s="2">
        <f t="shared" si="1"/>
        <v>2574460</v>
      </c>
    </row>
    <row r="9" spans="2:13" x14ac:dyDescent="0.25">
      <c r="C9" s="3"/>
      <c r="D9" s="1"/>
      <c r="E9" s="2"/>
      <c r="F9" s="2"/>
      <c r="G9" s="2">
        <f t="shared" si="0"/>
        <v>0</v>
      </c>
      <c r="I9" s="3">
        <v>45616</v>
      </c>
      <c r="J9" s="1" t="s">
        <v>134</v>
      </c>
      <c r="K9" s="2">
        <v>9000000</v>
      </c>
      <c r="L9" s="2">
        <v>900000</v>
      </c>
      <c r="M9" s="2">
        <f t="shared" si="1"/>
        <v>9900000</v>
      </c>
    </row>
    <row r="10" spans="2:13" x14ac:dyDescent="0.25">
      <c r="C10" s="3"/>
      <c r="D10" s="1"/>
      <c r="E10" s="2"/>
      <c r="F10" s="2"/>
      <c r="G10" s="2">
        <f t="shared" si="0"/>
        <v>0</v>
      </c>
      <c r="I10" s="3">
        <v>45618</v>
      </c>
      <c r="J10" s="1" t="s">
        <v>65</v>
      </c>
      <c r="K10" s="2">
        <v>518000</v>
      </c>
      <c r="L10" s="2">
        <v>51800</v>
      </c>
      <c r="M10" s="2">
        <f t="shared" si="1"/>
        <v>569800</v>
      </c>
    </row>
    <row r="11" spans="2:13" x14ac:dyDescent="0.25">
      <c r="C11" s="3"/>
      <c r="D11" s="1"/>
      <c r="E11" s="2"/>
      <c r="F11" s="2"/>
      <c r="G11" s="2">
        <f t="shared" si="0"/>
        <v>0</v>
      </c>
      <c r="I11" s="3">
        <v>45605</v>
      </c>
      <c r="J11" s="1" t="s">
        <v>79</v>
      </c>
      <c r="K11" s="2">
        <v>1971812</v>
      </c>
      <c r="L11" s="2">
        <v>108373</v>
      </c>
      <c r="M11" s="2">
        <f t="shared" si="1"/>
        <v>2080185</v>
      </c>
    </row>
    <row r="12" spans="2:13" x14ac:dyDescent="0.25">
      <c r="C12" s="3"/>
      <c r="D12" s="1"/>
      <c r="E12" s="2"/>
      <c r="F12" s="2"/>
      <c r="G12" s="2">
        <f t="shared" si="0"/>
        <v>0</v>
      </c>
      <c r="I12" s="3">
        <v>45626</v>
      </c>
      <c r="J12" s="1" t="s">
        <v>38</v>
      </c>
      <c r="K12" s="2">
        <v>140125</v>
      </c>
      <c r="L12" s="2">
        <v>14013</v>
      </c>
      <c r="M12" s="2">
        <f t="shared" si="1"/>
        <v>154138</v>
      </c>
    </row>
    <row r="13" spans="2:13" x14ac:dyDescent="0.25">
      <c r="C13" s="3"/>
      <c r="D13" s="1"/>
      <c r="E13" s="2"/>
      <c r="F13" s="2"/>
      <c r="G13" s="2">
        <f t="shared" si="0"/>
        <v>0</v>
      </c>
      <c r="I13" s="3">
        <v>45626</v>
      </c>
      <c r="J13" s="1" t="s">
        <v>40</v>
      </c>
      <c r="K13" s="2">
        <v>510455</v>
      </c>
      <c r="L13" s="2">
        <v>51046</v>
      </c>
      <c r="M13" s="2">
        <f t="shared" si="1"/>
        <v>561501</v>
      </c>
    </row>
    <row r="14" spans="2:13" x14ac:dyDescent="0.25">
      <c r="C14" s="3"/>
      <c r="D14" s="1"/>
      <c r="E14" s="2"/>
      <c r="F14" s="2"/>
      <c r="G14" s="2">
        <f t="shared" si="0"/>
        <v>0</v>
      </c>
      <c r="I14" s="3"/>
      <c r="J14" s="1"/>
      <c r="K14" s="2"/>
      <c r="L14" s="2"/>
      <c r="M14" s="2">
        <f t="shared" si="1"/>
        <v>0</v>
      </c>
    </row>
    <row r="15" spans="2:13" x14ac:dyDescent="0.25">
      <c r="C15" s="3"/>
      <c r="D15" s="1"/>
      <c r="E15" s="2"/>
      <c r="F15" s="2"/>
      <c r="G15" s="2">
        <f t="shared" si="0"/>
        <v>0</v>
      </c>
      <c r="I15" s="3"/>
      <c r="J15" s="1"/>
      <c r="K15" s="2"/>
      <c r="L15" s="2"/>
      <c r="M15" s="2">
        <f t="shared" si="1"/>
        <v>0</v>
      </c>
    </row>
    <row r="16" spans="2:13" x14ac:dyDescent="0.25">
      <c r="C16" s="3"/>
      <c r="D16" s="1"/>
      <c r="E16" s="2"/>
      <c r="F16" s="2"/>
      <c r="G16" s="2">
        <f t="shared" si="0"/>
        <v>0</v>
      </c>
      <c r="I16" s="1"/>
      <c r="J16" s="1"/>
      <c r="K16" s="1"/>
      <c r="L16" s="1"/>
      <c r="M16" s="2">
        <f t="shared" si="1"/>
        <v>0</v>
      </c>
    </row>
    <row r="17" spans="3:13" x14ac:dyDescent="0.25">
      <c r="C17" s="3"/>
      <c r="D17" s="1"/>
      <c r="E17" s="2"/>
      <c r="F17" s="2"/>
      <c r="G17" s="2">
        <f t="shared" si="0"/>
        <v>0</v>
      </c>
      <c r="I17" s="1"/>
      <c r="J17" s="1"/>
      <c r="K17" s="1"/>
      <c r="L17" s="1"/>
      <c r="M17" s="2">
        <f t="shared" si="1"/>
        <v>0</v>
      </c>
    </row>
    <row r="18" spans="3:13" x14ac:dyDescent="0.25">
      <c r="C18" s="3"/>
      <c r="D18" s="1"/>
      <c r="E18" s="2"/>
      <c r="F18" s="2"/>
      <c r="G18" s="2">
        <f t="shared" si="0"/>
        <v>0</v>
      </c>
      <c r="I18" s="1"/>
      <c r="J18" s="1"/>
      <c r="K18" s="1"/>
      <c r="L18" s="1"/>
      <c r="M18" s="2">
        <f t="shared" si="1"/>
        <v>0</v>
      </c>
    </row>
    <row r="19" spans="3:13" x14ac:dyDescent="0.25">
      <c r="C19" s="3"/>
      <c r="D19" s="1"/>
      <c r="E19" s="2"/>
      <c r="F19" s="2"/>
      <c r="G19" s="2">
        <f t="shared" si="0"/>
        <v>0</v>
      </c>
      <c r="I19" s="1"/>
      <c r="J19" s="1"/>
      <c r="K19" s="1"/>
      <c r="L19" s="1"/>
      <c r="M19" s="2">
        <f t="shared" si="1"/>
        <v>0</v>
      </c>
    </row>
    <row r="20" spans="3:13" x14ac:dyDescent="0.25">
      <c r="C20" s="3"/>
      <c r="D20" s="1"/>
      <c r="E20" s="2"/>
      <c r="F20" s="2"/>
      <c r="G20" s="2">
        <f t="shared" si="0"/>
        <v>0</v>
      </c>
      <c r="I20" s="1"/>
      <c r="J20" s="1"/>
      <c r="K20" s="1"/>
      <c r="L20" s="1"/>
      <c r="M20" s="2">
        <f t="shared" si="1"/>
        <v>0</v>
      </c>
    </row>
    <row r="21" spans="3:13" x14ac:dyDescent="0.25">
      <c r="C21" s="3"/>
      <c r="D21" s="1"/>
      <c r="E21" s="2"/>
      <c r="F21" s="2"/>
      <c r="G21" s="2">
        <f t="shared" si="0"/>
        <v>0</v>
      </c>
      <c r="I21" s="1"/>
      <c r="J21" s="1"/>
      <c r="K21" s="1"/>
      <c r="L21" s="1"/>
      <c r="M21" s="2"/>
    </row>
    <row r="22" spans="3:13" x14ac:dyDescent="0.25">
      <c r="C22" s="3"/>
      <c r="D22" s="1"/>
      <c r="E22" s="2"/>
      <c r="F22" s="2"/>
      <c r="G22" s="2"/>
      <c r="M22" s="2"/>
    </row>
    <row r="23" spans="3:13" x14ac:dyDescent="0.25">
      <c r="C23" s="3"/>
      <c r="D23" s="1"/>
      <c r="E23" s="2"/>
      <c r="F23" s="2"/>
      <c r="G23" s="2"/>
      <c r="M23" s="2"/>
    </row>
    <row r="24" spans="3:13" x14ac:dyDescent="0.25">
      <c r="C24" s="1"/>
      <c r="D24" s="1"/>
      <c r="E24" s="1"/>
      <c r="F24" s="1"/>
      <c r="G24" s="1"/>
      <c r="M24" s="2"/>
    </row>
    <row r="25" spans="3:13" x14ac:dyDescent="0.25">
      <c r="C25" s="1"/>
      <c r="D25" s="1"/>
      <c r="E25" s="1"/>
      <c r="F25" s="1"/>
      <c r="G25" s="1"/>
      <c r="M25" s="2"/>
    </row>
    <row r="26" spans="3:13" x14ac:dyDescent="0.25">
      <c r="C26" s="1"/>
      <c r="D26" s="1"/>
      <c r="E26" s="1"/>
      <c r="F26" s="1"/>
      <c r="G26" s="1"/>
    </row>
    <row r="27" spans="3:13" x14ac:dyDescent="0.25">
      <c r="C27" s="1"/>
      <c r="D27" s="1" t="s">
        <v>8</v>
      </c>
      <c r="E27" s="2">
        <f>SUM(E4:E26)</f>
        <v>15104981</v>
      </c>
      <c r="F27" s="2">
        <f>SUM(F4:F26)</f>
        <v>1208399</v>
      </c>
      <c r="G27" s="2">
        <f>SUM(G4:G26)</f>
        <v>16313380</v>
      </c>
      <c r="I27" s="1"/>
      <c r="J27" s="1" t="s">
        <v>8</v>
      </c>
      <c r="K27" s="2">
        <f>SUM(K4:K26)</f>
        <v>26912903</v>
      </c>
      <c r="L27" s="2">
        <f>SUM(L4:L26)</f>
        <v>2101498</v>
      </c>
      <c r="M27" s="2">
        <f>SUM(M4:M26)</f>
        <v>29014401</v>
      </c>
    </row>
    <row r="28" spans="3:13" x14ac:dyDescent="0.25">
      <c r="D28" s="4"/>
      <c r="E28" s="4"/>
    </row>
    <row r="29" spans="3:13" x14ac:dyDescent="0.25">
      <c r="D29" s="4"/>
      <c r="E29" s="4"/>
    </row>
    <row r="31" spans="3:13" x14ac:dyDescent="0.25">
      <c r="E31" s="4"/>
      <c r="F31" s="4"/>
      <c r="G31" s="4"/>
      <c r="K31" s="4"/>
      <c r="L31" s="4"/>
      <c r="M31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31"/>
  <sheetViews>
    <sheetView workbookViewId="0">
      <selection activeCell="C11" sqref="C11"/>
    </sheetView>
  </sheetViews>
  <sheetFormatPr defaultRowHeight="15" x14ac:dyDescent="0.25"/>
  <cols>
    <col min="2" max="2" width="16.85546875" customWidth="1"/>
    <col min="3" max="3" width="10" customWidth="1"/>
    <col min="4" max="4" width="27.85546875" customWidth="1"/>
    <col min="5" max="5" width="12.42578125" customWidth="1"/>
    <col min="6" max="6" width="10.85546875" customWidth="1"/>
    <col min="7" max="7" width="11.5703125" customWidth="1"/>
    <col min="8" max="8" width="22.5703125" customWidth="1"/>
    <col min="10" max="10" width="22.85546875" customWidth="1"/>
    <col min="11" max="11" width="13.140625" customWidth="1"/>
    <col min="12" max="12" width="10.7109375" customWidth="1"/>
    <col min="13" max="13" width="12.7109375" customWidth="1"/>
  </cols>
  <sheetData>
    <row r="3" spans="2:13" x14ac:dyDescent="0.25">
      <c r="B3" s="1" t="s">
        <v>9</v>
      </c>
      <c r="C3" s="1" t="s">
        <v>0</v>
      </c>
      <c r="D3" s="1" t="s">
        <v>10</v>
      </c>
      <c r="E3" s="1" t="s">
        <v>2</v>
      </c>
      <c r="F3" s="1" t="s">
        <v>16</v>
      </c>
      <c r="G3" s="1" t="s">
        <v>17</v>
      </c>
      <c r="H3" s="1" t="s">
        <v>11</v>
      </c>
      <c r="I3" s="1" t="s">
        <v>0</v>
      </c>
      <c r="J3" s="1" t="s">
        <v>12</v>
      </c>
      <c r="K3" s="1" t="s">
        <v>1</v>
      </c>
      <c r="L3" s="1" t="s">
        <v>16</v>
      </c>
      <c r="M3" s="1" t="s">
        <v>18</v>
      </c>
    </row>
    <row r="4" spans="2:13" x14ac:dyDescent="0.25">
      <c r="C4" s="3">
        <v>45631</v>
      </c>
      <c r="D4" s="1" t="s">
        <v>135</v>
      </c>
      <c r="E4" s="2">
        <v>370370</v>
      </c>
      <c r="F4" s="2">
        <v>29630</v>
      </c>
      <c r="G4" s="2">
        <f>SUM(E4:F4)</f>
        <v>400000</v>
      </c>
      <c r="H4" s="1"/>
      <c r="I4" s="3">
        <v>45628</v>
      </c>
      <c r="J4" s="1" t="s">
        <v>23</v>
      </c>
      <c r="K4" s="2">
        <v>7589612</v>
      </c>
      <c r="L4" s="2">
        <v>607169</v>
      </c>
      <c r="M4" s="2">
        <f>SUM(K4:L4)</f>
        <v>8196781</v>
      </c>
    </row>
    <row r="5" spans="2:13" x14ac:dyDescent="0.25">
      <c r="C5" s="3">
        <v>45635</v>
      </c>
      <c r="D5" s="1" t="s">
        <v>132</v>
      </c>
      <c r="E5" s="2">
        <v>6481481</v>
      </c>
      <c r="F5" s="2">
        <v>518519</v>
      </c>
      <c r="G5" s="2">
        <f t="shared" ref="G5:G21" si="0">SUM(E5:F5)</f>
        <v>7000000</v>
      </c>
      <c r="I5" s="3">
        <v>45630</v>
      </c>
      <c r="J5" s="1" t="s">
        <v>106</v>
      </c>
      <c r="K5" s="2">
        <v>20667</v>
      </c>
      <c r="L5" s="2">
        <v>2067</v>
      </c>
      <c r="M5" s="2">
        <f t="shared" ref="M5:M20" si="1">SUM(K5:L5)</f>
        <v>22734</v>
      </c>
    </row>
    <row r="6" spans="2:13" x14ac:dyDescent="0.25">
      <c r="C6" s="3">
        <v>45640</v>
      </c>
      <c r="D6" s="1" t="s">
        <v>137</v>
      </c>
      <c r="E6" s="2">
        <v>740740</v>
      </c>
      <c r="F6" s="2">
        <v>59260</v>
      </c>
      <c r="G6" s="2">
        <f t="shared" si="0"/>
        <v>800000</v>
      </c>
      <c r="I6" s="3">
        <v>45628</v>
      </c>
      <c r="J6" s="1" t="s">
        <v>136</v>
      </c>
      <c r="K6" s="2">
        <v>1527778</v>
      </c>
      <c r="L6" s="2">
        <v>122222</v>
      </c>
      <c r="M6" s="2">
        <f t="shared" si="1"/>
        <v>1650000</v>
      </c>
    </row>
    <row r="7" spans="2:13" x14ac:dyDescent="0.25">
      <c r="C7" s="3">
        <v>45644</v>
      </c>
      <c r="D7" s="1" t="s">
        <v>138</v>
      </c>
      <c r="E7" s="2">
        <v>555556</v>
      </c>
      <c r="F7" s="2">
        <v>44444</v>
      </c>
      <c r="G7" s="2">
        <f t="shared" si="0"/>
        <v>600000</v>
      </c>
      <c r="I7" s="3">
        <v>45630</v>
      </c>
      <c r="J7" s="1" t="s">
        <v>61</v>
      </c>
      <c r="K7" s="2">
        <v>240909</v>
      </c>
      <c r="L7" s="2">
        <v>19273</v>
      </c>
      <c r="M7" s="2">
        <f t="shared" si="1"/>
        <v>260182</v>
      </c>
    </row>
    <row r="8" spans="2:13" x14ac:dyDescent="0.25">
      <c r="C8" s="3">
        <v>45646</v>
      </c>
      <c r="D8" s="1" t="s">
        <v>35</v>
      </c>
      <c r="E8" s="2">
        <v>3221000</v>
      </c>
      <c r="F8" s="2">
        <v>257680</v>
      </c>
      <c r="G8" s="2">
        <f t="shared" si="0"/>
        <v>3478680</v>
      </c>
      <c r="I8" s="3">
        <v>45638</v>
      </c>
      <c r="J8" s="1" t="s">
        <v>79</v>
      </c>
      <c r="K8" s="2">
        <v>770239</v>
      </c>
      <c r="L8" s="2">
        <v>42333</v>
      </c>
      <c r="M8" s="2">
        <f t="shared" si="1"/>
        <v>812572</v>
      </c>
    </row>
    <row r="9" spans="2:13" x14ac:dyDescent="0.25">
      <c r="C9" s="3">
        <v>45647</v>
      </c>
      <c r="D9" s="1" t="s">
        <v>139</v>
      </c>
      <c r="E9" s="2">
        <v>6018519</v>
      </c>
      <c r="F9" s="2">
        <v>481481</v>
      </c>
      <c r="G9" s="2">
        <f t="shared" si="0"/>
        <v>6500000</v>
      </c>
      <c r="I9" s="3">
        <v>46022</v>
      </c>
      <c r="J9" s="1" t="s">
        <v>40</v>
      </c>
      <c r="K9" s="2">
        <v>510455</v>
      </c>
      <c r="L9" s="2">
        <v>51046</v>
      </c>
      <c r="M9" s="2">
        <f t="shared" si="1"/>
        <v>561501</v>
      </c>
    </row>
    <row r="10" spans="2:13" x14ac:dyDescent="0.25">
      <c r="C10" s="3">
        <v>45647</v>
      </c>
      <c r="D10" s="1" t="s">
        <v>140</v>
      </c>
      <c r="E10" s="2">
        <v>6481481</v>
      </c>
      <c r="F10" s="2">
        <v>518519</v>
      </c>
      <c r="G10" s="2">
        <f t="shared" si="0"/>
        <v>7000000</v>
      </c>
      <c r="I10" s="3">
        <v>46022</v>
      </c>
      <c r="J10" s="1" t="s">
        <v>116</v>
      </c>
      <c r="K10" s="2">
        <v>99182</v>
      </c>
      <c r="L10" s="2">
        <v>9918</v>
      </c>
      <c r="M10" s="2">
        <f t="shared" si="1"/>
        <v>109100</v>
      </c>
    </row>
    <row r="11" spans="2:13" x14ac:dyDescent="0.25">
      <c r="C11" s="3"/>
      <c r="D11" s="1"/>
      <c r="E11" s="2"/>
      <c r="F11" s="2"/>
      <c r="G11" s="2">
        <f t="shared" si="0"/>
        <v>0</v>
      </c>
      <c r="I11" s="3"/>
      <c r="J11" s="1"/>
      <c r="K11" s="2"/>
      <c r="L11" s="2"/>
      <c r="M11" s="2">
        <f t="shared" si="1"/>
        <v>0</v>
      </c>
    </row>
    <row r="12" spans="2:13" x14ac:dyDescent="0.25">
      <c r="C12" s="3"/>
      <c r="D12" s="1"/>
      <c r="E12" s="2"/>
      <c r="F12" s="2"/>
      <c r="G12" s="2">
        <f t="shared" si="0"/>
        <v>0</v>
      </c>
      <c r="I12" s="3"/>
      <c r="J12" s="1"/>
      <c r="K12" s="2"/>
      <c r="L12" s="2"/>
      <c r="M12" s="2">
        <f t="shared" si="1"/>
        <v>0</v>
      </c>
    </row>
    <row r="13" spans="2:13" x14ac:dyDescent="0.25">
      <c r="C13" s="3"/>
      <c r="D13" s="1"/>
      <c r="E13" s="2"/>
      <c r="F13" s="2"/>
      <c r="G13" s="2">
        <f t="shared" si="0"/>
        <v>0</v>
      </c>
      <c r="I13" s="3"/>
      <c r="J13" s="1"/>
      <c r="K13" s="2"/>
      <c r="L13" s="2"/>
      <c r="M13" s="2">
        <f t="shared" si="1"/>
        <v>0</v>
      </c>
    </row>
    <row r="14" spans="2:13" x14ac:dyDescent="0.25">
      <c r="C14" s="3"/>
      <c r="D14" s="1"/>
      <c r="E14" s="2"/>
      <c r="F14" s="2"/>
      <c r="G14" s="2">
        <f t="shared" si="0"/>
        <v>0</v>
      </c>
      <c r="I14" s="3"/>
      <c r="J14" s="1"/>
      <c r="K14" s="2"/>
      <c r="L14" s="2"/>
      <c r="M14" s="2">
        <f t="shared" si="1"/>
        <v>0</v>
      </c>
    </row>
    <row r="15" spans="2:13" x14ac:dyDescent="0.25">
      <c r="C15" s="3"/>
      <c r="D15" s="1"/>
      <c r="E15" s="2"/>
      <c r="F15" s="2"/>
      <c r="G15" s="2">
        <f t="shared" si="0"/>
        <v>0</v>
      </c>
      <c r="I15" s="3"/>
      <c r="J15" s="1"/>
      <c r="K15" s="2"/>
      <c r="L15" s="2"/>
      <c r="M15" s="2">
        <f t="shared" si="1"/>
        <v>0</v>
      </c>
    </row>
    <row r="16" spans="2:13" x14ac:dyDescent="0.25">
      <c r="C16" s="3"/>
      <c r="D16" s="1"/>
      <c r="E16" s="2"/>
      <c r="F16" s="2"/>
      <c r="G16" s="2">
        <f t="shared" si="0"/>
        <v>0</v>
      </c>
      <c r="I16" s="1"/>
      <c r="J16" s="1"/>
      <c r="K16" s="1"/>
      <c r="L16" s="1"/>
      <c r="M16" s="2">
        <f t="shared" si="1"/>
        <v>0</v>
      </c>
    </row>
    <row r="17" spans="3:13" x14ac:dyDescent="0.25">
      <c r="C17" s="3"/>
      <c r="D17" s="1"/>
      <c r="E17" s="2"/>
      <c r="F17" s="2"/>
      <c r="G17" s="2">
        <f t="shared" si="0"/>
        <v>0</v>
      </c>
      <c r="I17" s="1"/>
      <c r="J17" s="1"/>
      <c r="K17" s="1"/>
      <c r="L17" s="1"/>
      <c r="M17" s="2">
        <f t="shared" si="1"/>
        <v>0</v>
      </c>
    </row>
    <row r="18" spans="3:13" x14ac:dyDescent="0.25">
      <c r="C18" s="3"/>
      <c r="D18" s="1"/>
      <c r="E18" s="2"/>
      <c r="F18" s="2"/>
      <c r="G18" s="2">
        <f t="shared" si="0"/>
        <v>0</v>
      </c>
      <c r="I18" s="1"/>
      <c r="J18" s="1"/>
      <c r="K18" s="1"/>
      <c r="L18" s="1"/>
      <c r="M18" s="2">
        <f t="shared" si="1"/>
        <v>0</v>
      </c>
    </row>
    <row r="19" spans="3:13" x14ac:dyDescent="0.25">
      <c r="C19" s="3"/>
      <c r="D19" s="1"/>
      <c r="E19" s="2"/>
      <c r="F19" s="2"/>
      <c r="G19" s="2">
        <f t="shared" si="0"/>
        <v>0</v>
      </c>
      <c r="I19" s="1"/>
      <c r="J19" s="1"/>
      <c r="K19" s="1"/>
      <c r="L19" s="1"/>
      <c r="M19" s="2">
        <f t="shared" si="1"/>
        <v>0</v>
      </c>
    </row>
    <row r="20" spans="3:13" x14ac:dyDescent="0.25">
      <c r="C20" s="3"/>
      <c r="D20" s="1"/>
      <c r="E20" s="2"/>
      <c r="F20" s="2"/>
      <c r="G20" s="2">
        <f t="shared" si="0"/>
        <v>0</v>
      </c>
      <c r="I20" s="1"/>
      <c r="J20" s="1"/>
      <c r="K20" s="1"/>
      <c r="L20" s="1"/>
      <c r="M20" s="2">
        <f t="shared" si="1"/>
        <v>0</v>
      </c>
    </row>
    <row r="21" spans="3:13" x14ac:dyDescent="0.25">
      <c r="C21" s="3"/>
      <c r="D21" s="1"/>
      <c r="E21" s="2"/>
      <c r="F21" s="2"/>
      <c r="G21" s="2">
        <f t="shared" si="0"/>
        <v>0</v>
      </c>
      <c r="I21" s="1"/>
      <c r="J21" s="1"/>
      <c r="K21" s="1"/>
      <c r="L21" s="1"/>
      <c r="M21" s="2"/>
    </row>
    <row r="22" spans="3:13" x14ac:dyDescent="0.25">
      <c r="C22" s="3"/>
      <c r="D22" s="1"/>
      <c r="E22" s="2"/>
      <c r="F22" s="2"/>
      <c r="G22" s="2"/>
      <c r="M22" s="2"/>
    </row>
    <row r="23" spans="3:13" x14ac:dyDescent="0.25">
      <c r="C23" s="3"/>
      <c r="D23" s="1"/>
      <c r="E23" s="2"/>
      <c r="F23" s="2"/>
      <c r="G23" s="2"/>
      <c r="M23" s="2"/>
    </row>
    <row r="24" spans="3:13" x14ac:dyDescent="0.25">
      <c r="C24" s="1"/>
      <c r="D24" s="1"/>
      <c r="E24" s="1"/>
      <c r="F24" s="1"/>
      <c r="G24" s="1"/>
      <c r="M24" s="2"/>
    </row>
    <row r="25" spans="3:13" x14ac:dyDescent="0.25">
      <c r="C25" s="1"/>
      <c r="D25" s="1"/>
      <c r="E25" s="1"/>
      <c r="F25" s="1"/>
      <c r="G25" s="1"/>
      <c r="M25" s="2"/>
    </row>
    <row r="26" spans="3:13" x14ac:dyDescent="0.25">
      <c r="C26" s="1"/>
      <c r="D26" s="1"/>
      <c r="E26" s="1"/>
      <c r="F26" s="1"/>
      <c r="G26" s="1"/>
    </row>
    <row r="27" spans="3:13" x14ac:dyDescent="0.25">
      <c r="C27" s="1"/>
      <c r="D27" s="1" t="s">
        <v>8</v>
      </c>
      <c r="E27" s="2">
        <f>SUM(E4:E26)</f>
        <v>23869147</v>
      </c>
      <c r="F27" s="2">
        <f>SUM(F4:F26)</f>
        <v>1909533</v>
      </c>
      <c r="G27" s="2">
        <f>SUM(G4:G26)</f>
        <v>25778680</v>
      </c>
      <c r="I27" s="1"/>
      <c r="J27" s="1" t="s">
        <v>8</v>
      </c>
      <c r="K27" s="2">
        <f>SUM(K4:K26)</f>
        <v>10758842</v>
      </c>
      <c r="L27" s="2">
        <f>SUM(L4:L26)</f>
        <v>854028</v>
      </c>
      <c r="M27" s="2">
        <f>SUM(M4:M26)</f>
        <v>11612870</v>
      </c>
    </row>
    <row r="28" spans="3:13" x14ac:dyDescent="0.25">
      <c r="D28" s="4"/>
      <c r="E28" s="4"/>
    </row>
    <row r="29" spans="3:13" x14ac:dyDescent="0.25">
      <c r="D29" s="4"/>
      <c r="E29" s="4"/>
    </row>
    <row r="31" spans="3:13" x14ac:dyDescent="0.25">
      <c r="E31" s="4"/>
      <c r="F31" s="4"/>
      <c r="G31" s="4"/>
      <c r="K31" s="4"/>
      <c r="L31" s="4"/>
      <c r="M31" s="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31"/>
  <sheetViews>
    <sheetView workbookViewId="0">
      <selection activeCell="C10" sqref="C10"/>
    </sheetView>
  </sheetViews>
  <sheetFormatPr defaultRowHeight="15" x14ac:dyDescent="0.25"/>
  <cols>
    <col min="2" max="2" width="16.85546875" customWidth="1"/>
    <col min="3" max="3" width="10" customWidth="1"/>
    <col min="4" max="4" width="31.85546875" customWidth="1"/>
    <col min="5" max="5" width="12.42578125" customWidth="1"/>
    <col min="6" max="6" width="10.85546875" customWidth="1"/>
    <col min="7" max="7" width="11.5703125" customWidth="1"/>
    <col min="8" max="8" width="22.5703125" customWidth="1"/>
    <col min="10" max="10" width="22.85546875" customWidth="1"/>
    <col min="11" max="11" width="13.140625" customWidth="1"/>
    <col min="12" max="12" width="10.7109375" customWidth="1"/>
    <col min="13" max="13" width="12.7109375" customWidth="1"/>
  </cols>
  <sheetData>
    <row r="3" spans="2:13" x14ac:dyDescent="0.25">
      <c r="B3" s="1" t="s">
        <v>9</v>
      </c>
      <c r="C3" s="1" t="s">
        <v>0</v>
      </c>
      <c r="D3" s="1" t="s">
        <v>10</v>
      </c>
      <c r="E3" s="1" t="s">
        <v>2</v>
      </c>
      <c r="F3" s="1" t="s">
        <v>16</v>
      </c>
      <c r="G3" s="1" t="s">
        <v>17</v>
      </c>
      <c r="H3" s="1" t="s">
        <v>11</v>
      </c>
      <c r="I3" s="1" t="s">
        <v>0</v>
      </c>
      <c r="J3" s="1" t="s">
        <v>12</v>
      </c>
      <c r="K3" s="1" t="s">
        <v>1</v>
      </c>
      <c r="L3" s="1" t="s">
        <v>16</v>
      </c>
      <c r="M3" s="1" t="s">
        <v>18</v>
      </c>
    </row>
    <row r="4" spans="2:13" x14ac:dyDescent="0.25">
      <c r="C4" s="3">
        <v>45658</v>
      </c>
      <c r="D4" s="1" t="s">
        <v>35</v>
      </c>
      <c r="E4" s="2">
        <v>8085100</v>
      </c>
      <c r="F4" s="2">
        <v>646808</v>
      </c>
      <c r="G4" s="2">
        <f>SUM(E4:F4)</f>
        <v>8731908</v>
      </c>
      <c r="H4" s="1"/>
      <c r="I4" s="3">
        <v>45659</v>
      </c>
      <c r="J4" s="1" t="s">
        <v>23</v>
      </c>
      <c r="K4" s="2">
        <v>7852984</v>
      </c>
      <c r="L4" s="2">
        <v>628239</v>
      </c>
      <c r="M4" s="2">
        <f>SUM(K4:L4)</f>
        <v>8481223</v>
      </c>
    </row>
    <row r="5" spans="2:13" x14ac:dyDescent="0.25">
      <c r="C5" s="3">
        <v>45661</v>
      </c>
      <c r="D5" s="1" t="s">
        <v>141</v>
      </c>
      <c r="E5" s="2">
        <v>6481481</v>
      </c>
      <c r="F5" s="2">
        <v>518519</v>
      </c>
      <c r="G5" s="2">
        <f t="shared" ref="G5:G21" si="0">SUM(E5:F5)</f>
        <v>7000000</v>
      </c>
      <c r="I5" s="3">
        <v>45661</v>
      </c>
      <c r="J5" s="1" t="s">
        <v>118</v>
      </c>
      <c r="K5" s="2">
        <v>20186</v>
      </c>
      <c r="L5" s="2">
        <v>2019</v>
      </c>
      <c r="M5" s="2">
        <f t="shared" ref="M5:M20" si="1">SUM(K5:L5)</f>
        <v>22205</v>
      </c>
    </row>
    <row r="6" spans="2:13" x14ac:dyDescent="0.25">
      <c r="C6" s="3">
        <v>45676</v>
      </c>
      <c r="D6" s="1" t="s">
        <v>142</v>
      </c>
      <c r="E6" s="2">
        <v>833333</v>
      </c>
      <c r="F6" s="2">
        <v>66667</v>
      </c>
      <c r="G6" s="2">
        <f t="shared" si="0"/>
        <v>900000</v>
      </c>
      <c r="I6" s="3">
        <v>45659</v>
      </c>
      <c r="J6" s="1" t="s">
        <v>103</v>
      </c>
      <c r="K6" s="2">
        <v>1574074</v>
      </c>
      <c r="L6" s="2">
        <v>125926</v>
      </c>
      <c r="M6" s="2">
        <f t="shared" si="1"/>
        <v>1700000</v>
      </c>
    </row>
    <row r="7" spans="2:13" x14ac:dyDescent="0.25">
      <c r="C7" s="3">
        <v>45676</v>
      </c>
      <c r="D7" s="1" t="s">
        <v>143</v>
      </c>
      <c r="E7" s="2">
        <v>555556</v>
      </c>
      <c r="F7" s="2">
        <v>44444</v>
      </c>
      <c r="G7" s="2">
        <f t="shared" si="0"/>
        <v>600000</v>
      </c>
      <c r="I7" s="3">
        <v>45664</v>
      </c>
      <c r="J7" s="1" t="s">
        <v>61</v>
      </c>
      <c r="K7" s="2">
        <v>240909</v>
      </c>
      <c r="L7" s="2">
        <v>19273</v>
      </c>
      <c r="M7" s="2">
        <f t="shared" si="1"/>
        <v>260182</v>
      </c>
    </row>
    <row r="8" spans="2:13" x14ac:dyDescent="0.25">
      <c r="C8" s="3">
        <v>45676</v>
      </c>
      <c r="D8" s="1" t="s">
        <v>144</v>
      </c>
      <c r="E8" s="2">
        <v>6481481</v>
      </c>
      <c r="F8" s="2">
        <v>518519</v>
      </c>
      <c r="G8" s="2">
        <f t="shared" si="0"/>
        <v>7000000</v>
      </c>
      <c r="I8" s="3">
        <v>45671</v>
      </c>
      <c r="J8" s="1" t="s">
        <v>79</v>
      </c>
      <c r="K8" s="2">
        <v>1354764</v>
      </c>
      <c r="L8" s="2">
        <v>74311</v>
      </c>
      <c r="M8" s="2">
        <f t="shared" si="1"/>
        <v>1429075</v>
      </c>
    </row>
    <row r="9" spans="2:13" x14ac:dyDescent="0.25">
      <c r="C9" s="3">
        <v>45680</v>
      </c>
      <c r="D9" s="1" t="s">
        <v>145</v>
      </c>
      <c r="E9" s="2">
        <v>6481481</v>
      </c>
      <c r="F9" s="2">
        <v>518519</v>
      </c>
      <c r="G9" s="2">
        <f t="shared" si="0"/>
        <v>7000000</v>
      </c>
      <c r="I9" s="3">
        <v>45688</v>
      </c>
      <c r="J9" s="1" t="s">
        <v>50</v>
      </c>
      <c r="K9" s="2">
        <v>510455</v>
      </c>
      <c r="L9" s="2">
        <v>51046</v>
      </c>
      <c r="M9" s="2">
        <f t="shared" si="1"/>
        <v>561501</v>
      </c>
    </row>
    <row r="10" spans="2:13" x14ac:dyDescent="0.25">
      <c r="C10" s="3"/>
      <c r="D10" s="1"/>
      <c r="E10" s="2"/>
      <c r="F10" s="2"/>
      <c r="G10" s="2">
        <f t="shared" si="0"/>
        <v>0</v>
      </c>
      <c r="I10" s="3">
        <v>45688</v>
      </c>
      <c r="J10" s="1" t="s">
        <v>38</v>
      </c>
      <c r="K10" s="2">
        <v>118617</v>
      </c>
      <c r="L10" s="2">
        <v>11862</v>
      </c>
      <c r="M10" s="2">
        <f t="shared" si="1"/>
        <v>130479</v>
      </c>
    </row>
    <row r="11" spans="2:13" x14ac:dyDescent="0.25">
      <c r="C11" s="3"/>
      <c r="D11" s="1"/>
      <c r="E11" s="2"/>
      <c r="F11" s="2"/>
      <c r="G11" s="2">
        <f t="shared" si="0"/>
        <v>0</v>
      </c>
      <c r="I11" s="3">
        <v>45683</v>
      </c>
      <c r="J11" s="1" t="s">
        <v>33</v>
      </c>
      <c r="K11" s="2">
        <v>1402000</v>
      </c>
      <c r="L11" s="2">
        <v>112160</v>
      </c>
      <c r="M11" s="2">
        <f t="shared" si="1"/>
        <v>1514160</v>
      </c>
    </row>
    <row r="12" spans="2:13" x14ac:dyDescent="0.25">
      <c r="C12" s="3"/>
      <c r="D12" s="1"/>
      <c r="E12" s="2"/>
      <c r="F12" s="2"/>
      <c r="G12" s="2">
        <f t="shared" si="0"/>
        <v>0</v>
      </c>
      <c r="I12" s="3">
        <v>45684</v>
      </c>
      <c r="J12" s="1" t="s">
        <v>43</v>
      </c>
      <c r="K12" s="2">
        <v>2087400</v>
      </c>
      <c r="L12" s="2">
        <v>168552</v>
      </c>
      <c r="M12" s="2">
        <f t="shared" si="1"/>
        <v>2255952</v>
      </c>
    </row>
    <row r="13" spans="2:13" x14ac:dyDescent="0.25">
      <c r="C13" s="3"/>
      <c r="D13" s="1"/>
      <c r="E13" s="2"/>
      <c r="F13" s="2"/>
      <c r="G13" s="2">
        <f t="shared" si="0"/>
        <v>0</v>
      </c>
      <c r="I13" s="3"/>
      <c r="J13" s="1"/>
      <c r="K13" s="2"/>
      <c r="L13" s="2"/>
      <c r="M13" s="2">
        <f t="shared" si="1"/>
        <v>0</v>
      </c>
    </row>
    <row r="14" spans="2:13" x14ac:dyDescent="0.25">
      <c r="C14" s="3"/>
      <c r="D14" s="1"/>
      <c r="E14" s="2"/>
      <c r="F14" s="2"/>
      <c r="G14" s="2">
        <f t="shared" si="0"/>
        <v>0</v>
      </c>
      <c r="I14" s="3"/>
      <c r="J14" s="1"/>
      <c r="K14" s="2"/>
      <c r="L14" s="2"/>
      <c r="M14" s="2">
        <f t="shared" si="1"/>
        <v>0</v>
      </c>
    </row>
    <row r="15" spans="2:13" x14ac:dyDescent="0.25">
      <c r="C15" s="3"/>
      <c r="D15" s="1"/>
      <c r="E15" s="2"/>
      <c r="F15" s="2"/>
      <c r="G15" s="2">
        <f t="shared" si="0"/>
        <v>0</v>
      </c>
      <c r="I15" s="3"/>
      <c r="J15" s="1"/>
      <c r="K15" s="2"/>
      <c r="L15" s="2"/>
      <c r="M15" s="2">
        <f t="shared" si="1"/>
        <v>0</v>
      </c>
    </row>
    <row r="16" spans="2:13" x14ac:dyDescent="0.25">
      <c r="C16" s="3"/>
      <c r="D16" s="1"/>
      <c r="E16" s="2"/>
      <c r="F16" s="2"/>
      <c r="G16" s="2">
        <f t="shared" si="0"/>
        <v>0</v>
      </c>
      <c r="I16" s="1"/>
      <c r="J16" s="1"/>
      <c r="K16" s="1"/>
      <c r="L16" s="1"/>
      <c r="M16" s="2">
        <f t="shared" si="1"/>
        <v>0</v>
      </c>
    </row>
    <row r="17" spans="3:13" x14ac:dyDescent="0.25">
      <c r="C17" s="3"/>
      <c r="D17" s="1"/>
      <c r="E17" s="2"/>
      <c r="F17" s="2"/>
      <c r="G17" s="2">
        <f t="shared" si="0"/>
        <v>0</v>
      </c>
      <c r="I17" s="1"/>
      <c r="J17" s="1"/>
      <c r="K17" s="1"/>
      <c r="L17" s="1"/>
      <c r="M17" s="2">
        <f t="shared" si="1"/>
        <v>0</v>
      </c>
    </row>
    <row r="18" spans="3:13" x14ac:dyDescent="0.25">
      <c r="C18" s="3"/>
      <c r="D18" s="1"/>
      <c r="E18" s="2"/>
      <c r="F18" s="2"/>
      <c r="G18" s="2">
        <f t="shared" si="0"/>
        <v>0</v>
      </c>
      <c r="I18" s="1"/>
      <c r="J18" s="1"/>
      <c r="K18" s="1"/>
      <c r="L18" s="1"/>
      <c r="M18" s="2">
        <f t="shared" si="1"/>
        <v>0</v>
      </c>
    </row>
    <row r="19" spans="3:13" x14ac:dyDescent="0.25">
      <c r="C19" s="3"/>
      <c r="D19" s="1"/>
      <c r="E19" s="2"/>
      <c r="F19" s="2"/>
      <c r="G19" s="2">
        <f t="shared" si="0"/>
        <v>0</v>
      </c>
      <c r="I19" s="1"/>
      <c r="J19" s="1"/>
      <c r="K19" s="1"/>
      <c r="L19" s="1"/>
      <c r="M19" s="2">
        <f t="shared" si="1"/>
        <v>0</v>
      </c>
    </row>
    <row r="20" spans="3:13" x14ac:dyDescent="0.25">
      <c r="C20" s="3"/>
      <c r="D20" s="1"/>
      <c r="E20" s="2"/>
      <c r="F20" s="2"/>
      <c r="G20" s="2">
        <f t="shared" si="0"/>
        <v>0</v>
      </c>
      <c r="I20" s="1"/>
      <c r="J20" s="1"/>
      <c r="K20" s="1"/>
      <c r="L20" s="1"/>
      <c r="M20" s="2">
        <f t="shared" si="1"/>
        <v>0</v>
      </c>
    </row>
    <row r="21" spans="3:13" x14ac:dyDescent="0.25">
      <c r="C21" s="3"/>
      <c r="D21" s="1"/>
      <c r="E21" s="2"/>
      <c r="F21" s="2"/>
      <c r="G21" s="2">
        <f t="shared" si="0"/>
        <v>0</v>
      </c>
      <c r="I21" s="1"/>
      <c r="J21" s="1"/>
      <c r="K21" s="1"/>
      <c r="L21" s="1"/>
      <c r="M21" s="2"/>
    </row>
    <row r="22" spans="3:13" x14ac:dyDescent="0.25">
      <c r="C22" s="3"/>
      <c r="D22" s="1"/>
      <c r="E22" s="2"/>
      <c r="F22" s="2"/>
      <c r="G22" s="2"/>
      <c r="M22" s="2"/>
    </row>
    <row r="23" spans="3:13" x14ac:dyDescent="0.25">
      <c r="C23" s="3"/>
      <c r="D23" s="1"/>
      <c r="E23" s="2"/>
      <c r="F23" s="2"/>
      <c r="G23" s="2"/>
      <c r="M23" s="2"/>
    </row>
    <row r="24" spans="3:13" x14ac:dyDescent="0.25">
      <c r="C24" s="1"/>
      <c r="D24" s="1"/>
      <c r="E24" s="1"/>
      <c r="F24" s="1"/>
      <c r="G24" s="1"/>
      <c r="M24" s="2"/>
    </row>
    <row r="25" spans="3:13" x14ac:dyDescent="0.25">
      <c r="C25" s="1"/>
      <c r="D25" s="1"/>
      <c r="E25" s="1"/>
      <c r="F25" s="1"/>
      <c r="G25" s="1"/>
      <c r="M25" s="2"/>
    </row>
    <row r="26" spans="3:13" x14ac:dyDescent="0.25">
      <c r="C26" s="1"/>
      <c r="D26" s="1"/>
      <c r="E26" s="1"/>
      <c r="F26" s="1"/>
      <c r="G26" s="1"/>
    </row>
    <row r="27" spans="3:13" x14ac:dyDescent="0.25">
      <c r="C27" s="1"/>
      <c r="D27" s="1" t="s">
        <v>8</v>
      </c>
      <c r="E27" s="2">
        <f>SUM(E4:E26)</f>
        <v>28918432</v>
      </c>
      <c r="F27" s="2">
        <f>SUM(F4:F26)</f>
        <v>2313476</v>
      </c>
      <c r="G27" s="2">
        <f>SUM(G4:G26)</f>
        <v>31231908</v>
      </c>
      <c r="I27" s="1"/>
      <c r="J27" s="1" t="s">
        <v>8</v>
      </c>
      <c r="K27" s="2">
        <f>SUM(K4:K26)</f>
        <v>15161389</v>
      </c>
      <c r="L27" s="2">
        <f>SUM(L4:L26)</f>
        <v>1193388</v>
      </c>
      <c r="M27" s="2">
        <f>SUM(M4:M26)</f>
        <v>16354777</v>
      </c>
    </row>
    <row r="28" spans="3:13" x14ac:dyDescent="0.25">
      <c r="D28" s="4"/>
      <c r="E28" s="4"/>
    </row>
    <row r="29" spans="3:13" x14ac:dyDescent="0.25">
      <c r="D29" s="4"/>
      <c r="E29" s="4"/>
    </row>
    <row r="31" spans="3:13" x14ac:dyDescent="0.25">
      <c r="E31" s="4"/>
      <c r="F31" s="4"/>
      <c r="G31" s="4"/>
      <c r="K31" s="4"/>
      <c r="L31" s="4"/>
      <c r="M31" s="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31"/>
  <sheetViews>
    <sheetView workbookViewId="0">
      <selection activeCell="I40" sqref="I40"/>
    </sheetView>
  </sheetViews>
  <sheetFormatPr defaultRowHeight="15" x14ac:dyDescent="0.25"/>
  <cols>
    <col min="2" max="2" width="16.85546875" customWidth="1"/>
    <col min="3" max="3" width="10" customWidth="1"/>
    <col min="4" max="4" width="33.42578125" customWidth="1"/>
    <col min="5" max="5" width="12.42578125" customWidth="1"/>
    <col min="6" max="6" width="10.85546875" customWidth="1"/>
    <col min="7" max="7" width="11.5703125" customWidth="1"/>
    <col min="8" max="8" width="22.5703125" customWidth="1"/>
    <col min="10" max="10" width="22.85546875" customWidth="1"/>
    <col min="11" max="11" width="13.140625" customWidth="1"/>
    <col min="12" max="12" width="10.7109375" customWidth="1"/>
    <col min="13" max="13" width="12.7109375" customWidth="1"/>
  </cols>
  <sheetData>
    <row r="3" spans="2:13" x14ac:dyDescent="0.25">
      <c r="B3" s="1" t="s">
        <v>9</v>
      </c>
      <c r="C3" s="1" t="s">
        <v>0</v>
      </c>
      <c r="D3" s="1" t="s">
        <v>10</v>
      </c>
      <c r="E3" s="1" t="s">
        <v>2</v>
      </c>
      <c r="F3" s="1" t="s">
        <v>16</v>
      </c>
      <c r="G3" s="1" t="s">
        <v>17</v>
      </c>
      <c r="H3" s="1" t="s">
        <v>11</v>
      </c>
      <c r="I3" s="1" t="s">
        <v>0</v>
      </c>
      <c r="J3" s="1" t="s">
        <v>12</v>
      </c>
      <c r="K3" s="1" t="s">
        <v>1</v>
      </c>
      <c r="L3" s="1" t="s">
        <v>16</v>
      </c>
      <c r="M3" s="1" t="s">
        <v>18</v>
      </c>
    </row>
    <row r="4" spans="2:13" x14ac:dyDescent="0.25">
      <c r="C4" s="3">
        <v>45690</v>
      </c>
      <c r="D4" s="1" t="s">
        <v>146</v>
      </c>
      <c r="E4" s="2">
        <v>5555556</v>
      </c>
      <c r="F4" s="2">
        <v>444444</v>
      </c>
      <c r="G4" s="2">
        <f>SUM(E4:F4)</f>
        <v>6000000</v>
      </c>
      <c r="H4" s="1"/>
      <c r="I4" s="3">
        <v>45690</v>
      </c>
      <c r="J4" s="1" t="s">
        <v>33</v>
      </c>
      <c r="K4" s="2">
        <v>3971835</v>
      </c>
      <c r="L4" s="2">
        <v>317747</v>
      </c>
      <c r="M4" s="2">
        <f>SUM(K4:L4)</f>
        <v>4289582</v>
      </c>
    </row>
    <row r="5" spans="2:13" x14ac:dyDescent="0.25">
      <c r="C5" s="3">
        <v>45691</v>
      </c>
      <c r="D5" s="1" t="s">
        <v>35</v>
      </c>
      <c r="E5" s="2">
        <v>8558700</v>
      </c>
      <c r="F5" s="2">
        <v>684696</v>
      </c>
      <c r="G5" s="2">
        <f t="shared" ref="G5:G21" si="0">SUM(E5:F5)</f>
        <v>9243396</v>
      </c>
      <c r="I5" s="3">
        <v>45689</v>
      </c>
      <c r="J5" s="1" t="s">
        <v>43</v>
      </c>
      <c r="K5" s="2">
        <v>2670150</v>
      </c>
      <c r="L5" s="2">
        <v>215271</v>
      </c>
      <c r="M5" s="2">
        <f t="shared" ref="M5:M20" si="1">SUM(K5:L5)</f>
        <v>2885421</v>
      </c>
    </row>
    <row r="6" spans="2:13" x14ac:dyDescent="0.25">
      <c r="C6" s="3">
        <v>45691</v>
      </c>
      <c r="D6" s="1" t="s">
        <v>139</v>
      </c>
      <c r="E6" s="2">
        <v>6018519</v>
      </c>
      <c r="F6" s="2">
        <v>481481</v>
      </c>
      <c r="G6" s="2">
        <f t="shared" si="0"/>
        <v>6500000</v>
      </c>
      <c r="I6" s="3">
        <v>45699</v>
      </c>
      <c r="J6" s="1" t="s">
        <v>80</v>
      </c>
      <c r="K6" s="2">
        <v>1576000</v>
      </c>
      <c r="L6" s="2">
        <v>136640</v>
      </c>
      <c r="M6" s="2">
        <f t="shared" si="1"/>
        <v>1712640</v>
      </c>
    </row>
    <row r="7" spans="2:13" x14ac:dyDescent="0.25">
      <c r="C7" s="3">
        <v>45697</v>
      </c>
      <c r="D7" s="1" t="s">
        <v>147</v>
      </c>
      <c r="E7" s="2">
        <v>1666667</v>
      </c>
      <c r="F7" s="2">
        <v>133333</v>
      </c>
      <c r="G7" s="2">
        <f t="shared" si="0"/>
        <v>1800000</v>
      </c>
      <c r="I7" s="3">
        <v>45690</v>
      </c>
      <c r="J7" s="1" t="s">
        <v>23</v>
      </c>
      <c r="K7" s="2">
        <v>12074670</v>
      </c>
      <c r="L7" s="2">
        <v>965974</v>
      </c>
      <c r="M7" s="2">
        <f t="shared" si="1"/>
        <v>13040644</v>
      </c>
    </row>
    <row r="8" spans="2:13" x14ac:dyDescent="0.25">
      <c r="C8" s="3">
        <v>45697</v>
      </c>
      <c r="D8" s="1" t="s">
        <v>170</v>
      </c>
      <c r="E8" s="2">
        <v>3703704</v>
      </c>
      <c r="F8" s="2">
        <v>296296</v>
      </c>
      <c r="G8" s="2">
        <f t="shared" si="0"/>
        <v>4000000</v>
      </c>
      <c r="I8" s="3">
        <v>45704</v>
      </c>
      <c r="J8" s="1" t="s">
        <v>148</v>
      </c>
      <c r="K8" s="2">
        <v>2450000</v>
      </c>
      <c r="L8" s="2">
        <v>197570</v>
      </c>
      <c r="M8" s="2">
        <f t="shared" si="1"/>
        <v>2647570</v>
      </c>
    </row>
    <row r="9" spans="2:13" x14ac:dyDescent="0.25">
      <c r="C9" s="3">
        <v>46009</v>
      </c>
      <c r="D9" s="1" t="s">
        <v>5</v>
      </c>
      <c r="E9" s="2">
        <v>8425926</v>
      </c>
      <c r="F9" s="2">
        <v>674074</v>
      </c>
      <c r="G9" s="2">
        <f t="shared" si="0"/>
        <v>9100000</v>
      </c>
      <c r="I9" s="3">
        <v>45692</v>
      </c>
      <c r="J9" s="1" t="s">
        <v>118</v>
      </c>
      <c r="K9" s="2">
        <v>20542</v>
      </c>
      <c r="L9" s="2">
        <v>2054</v>
      </c>
      <c r="M9" s="2">
        <f t="shared" si="1"/>
        <v>22596</v>
      </c>
    </row>
    <row r="10" spans="2:13" x14ac:dyDescent="0.25">
      <c r="C10" s="3">
        <v>45707</v>
      </c>
      <c r="D10" s="1" t="s">
        <v>149</v>
      </c>
      <c r="E10" s="2">
        <v>555556</v>
      </c>
      <c r="F10" s="2">
        <v>44444</v>
      </c>
      <c r="G10" s="2">
        <f t="shared" si="0"/>
        <v>600000</v>
      </c>
      <c r="I10" s="3">
        <v>45696</v>
      </c>
      <c r="J10" s="1" t="s">
        <v>79</v>
      </c>
      <c r="K10" s="2">
        <v>2128669</v>
      </c>
      <c r="L10" s="2">
        <v>115911</v>
      </c>
      <c r="M10" s="2">
        <f t="shared" si="1"/>
        <v>2244580</v>
      </c>
    </row>
    <row r="11" spans="2:13" x14ac:dyDescent="0.25">
      <c r="C11" s="3">
        <v>45707</v>
      </c>
      <c r="D11" s="1" t="s">
        <v>150</v>
      </c>
      <c r="E11" s="2">
        <v>740741</v>
      </c>
      <c r="F11" s="2">
        <v>59259</v>
      </c>
      <c r="G11" s="2">
        <f t="shared" si="0"/>
        <v>800000</v>
      </c>
      <c r="I11" s="3">
        <v>45716</v>
      </c>
      <c r="J11" s="1" t="s">
        <v>116</v>
      </c>
      <c r="K11" s="2">
        <v>471955</v>
      </c>
      <c r="L11" s="2">
        <v>47195</v>
      </c>
      <c r="M11" s="2">
        <f t="shared" si="1"/>
        <v>519150</v>
      </c>
    </row>
    <row r="12" spans="2:13" x14ac:dyDescent="0.25">
      <c r="C12" s="3">
        <v>45707</v>
      </c>
      <c r="D12" s="1" t="s">
        <v>151</v>
      </c>
      <c r="E12" s="2">
        <v>1944444</v>
      </c>
      <c r="F12" s="2">
        <v>155556</v>
      </c>
      <c r="G12" s="2">
        <f t="shared" si="0"/>
        <v>2100000</v>
      </c>
      <c r="I12" s="3">
        <v>45716</v>
      </c>
      <c r="J12" s="1" t="s">
        <v>159</v>
      </c>
      <c r="K12" s="2">
        <v>800000</v>
      </c>
      <c r="L12" s="2">
        <v>80000</v>
      </c>
      <c r="M12" s="2">
        <f t="shared" si="1"/>
        <v>880000</v>
      </c>
    </row>
    <row r="13" spans="2:13" x14ac:dyDescent="0.25">
      <c r="C13" s="3">
        <v>45704</v>
      </c>
      <c r="D13" s="1" t="s">
        <v>171</v>
      </c>
      <c r="E13" s="2">
        <v>3703694</v>
      </c>
      <c r="F13" s="2">
        <v>296296</v>
      </c>
      <c r="G13" s="2">
        <f t="shared" si="0"/>
        <v>3999990</v>
      </c>
      <c r="I13" s="3">
        <v>45716</v>
      </c>
      <c r="J13" s="1" t="s">
        <v>50</v>
      </c>
      <c r="K13" s="2">
        <v>510455</v>
      </c>
      <c r="L13" s="2">
        <v>51046</v>
      </c>
      <c r="M13" s="2">
        <f t="shared" si="1"/>
        <v>561501</v>
      </c>
    </row>
    <row r="14" spans="2:13" x14ac:dyDescent="0.25">
      <c r="C14" s="3">
        <v>45713</v>
      </c>
      <c r="D14" s="1" t="s">
        <v>153</v>
      </c>
      <c r="E14" s="2">
        <v>3611111</v>
      </c>
      <c r="F14" s="2">
        <v>288889</v>
      </c>
      <c r="G14" s="2">
        <f t="shared" si="0"/>
        <v>3900000</v>
      </c>
      <c r="I14" s="3">
        <v>45692</v>
      </c>
      <c r="J14" s="1" t="s">
        <v>172</v>
      </c>
      <c r="K14" s="2">
        <v>240909</v>
      </c>
      <c r="L14" s="2">
        <v>19273</v>
      </c>
      <c r="M14" s="2">
        <f t="shared" si="1"/>
        <v>260182</v>
      </c>
    </row>
    <row r="15" spans="2:13" x14ac:dyDescent="0.25">
      <c r="C15" s="3">
        <v>45715</v>
      </c>
      <c r="D15" s="1" t="s">
        <v>154</v>
      </c>
      <c r="E15" s="2">
        <v>740741</v>
      </c>
      <c r="F15" s="2">
        <v>59259</v>
      </c>
      <c r="G15" s="2">
        <f t="shared" si="0"/>
        <v>800000</v>
      </c>
      <c r="I15" s="3"/>
      <c r="J15" s="1"/>
      <c r="K15" s="2"/>
      <c r="L15" s="2"/>
      <c r="M15" s="2">
        <f t="shared" si="1"/>
        <v>0</v>
      </c>
    </row>
    <row r="16" spans="2:13" x14ac:dyDescent="0.25">
      <c r="C16" s="3">
        <v>45710</v>
      </c>
      <c r="D16" s="1" t="s">
        <v>152</v>
      </c>
      <c r="E16" s="2">
        <v>833333</v>
      </c>
      <c r="F16" s="2">
        <v>66667</v>
      </c>
      <c r="G16" s="2">
        <f>SUM(E16:F16)</f>
        <v>900000</v>
      </c>
      <c r="I16" s="1"/>
      <c r="J16" s="1"/>
      <c r="K16" s="1"/>
      <c r="L16" s="1"/>
      <c r="M16" s="2">
        <f t="shared" si="1"/>
        <v>0</v>
      </c>
    </row>
    <row r="17" spans="3:13" x14ac:dyDescent="0.25">
      <c r="C17" s="3"/>
      <c r="D17" s="1"/>
      <c r="E17" s="2"/>
      <c r="F17" s="2"/>
      <c r="G17" s="2">
        <f t="shared" si="0"/>
        <v>0</v>
      </c>
      <c r="I17" s="1"/>
      <c r="J17" s="1"/>
      <c r="K17" s="1"/>
      <c r="L17" s="1"/>
      <c r="M17" s="2">
        <f t="shared" si="1"/>
        <v>0</v>
      </c>
    </row>
    <row r="18" spans="3:13" x14ac:dyDescent="0.25">
      <c r="C18" s="3"/>
      <c r="D18" s="1"/>
      <c r="E18" s="2"/>
      <c r="F18" s="2"/>
      <c r="G18" s="2">
        <f t="shared" si="0"/>
        <v>0</v>
      </c>
      <c r="I18" s="1"/>
      <c r="J18" s="1"/>
      <c r="K18" s="1"/>
      <c r="L18" s="1"/>
      <c r="M18" s="2">
        <f t="shared" si="1"/>
        <v>0</v>
      </c>
    </row>
    <row r="19" spans="3:13" x14ac:dyDescent="0.25">
      <c r="C19" s="3"/>
      <c r="D19" s="1"/>
      <c r="E19" s="2"/>
      <c r="F19" s="2"/>
      <c r="G19" s="2">
        <f t="shared" si="0"/>
        <v>0</v>
      </c>
      <c r="I19" s="1"/>
      <c r="J19" s="1"/>
      <c r="K19" s="1"/>
      <c r="L19" s="1"/>
      <c r="M19" s="2">
        <f t="shared" si="1"/>
        <v>0</v>
      </c>
    </row>
    <row r="20" spans="3:13" x14ac:dyDescent="0.25">
      <c r="C20" s="3"/>
      <c r="D20" s="1"/>
      <c r="E20" s="2"/>
      <c r="F20" s="2"/>
      <c r="G20" s="2">
        <f t="shared" si="0"/>
        <v>0</v>
      </c>
      <c r="I20" s="1"/>
      <c r="J20" s="1"/>
      <c r="K20" s="1"/>
      <c r="L20" s="1"/>
      <c r="M20" s="2">
        <f t="shared" si="1"/>
        <v>0</v>
      </c>
    </row>
    <row r="21" spans="3:13" x14ac:dyDescent="0.25">
      <c r="C21" s="3"/>
      <c r="D21" s="1"/>
      <c r="E21" s="2"/>
      <c r="F21" s="2"/>
      <c r="G21" s="2">
        <f t="shared" si="0"/>
        <v>0</v>
      </c>
      <c r="I21" s="1"/>
      <c r="J21" s="1"/>
      <c r="K21" s="1"/>
      <c r="L21" s="1"/>
      <c r="M21" s="2"/>
    </row>
    <row r="22" spans="3:13" x14ac:dyDescent="0.25">
      <c r="C22" s="3"/>
      <c r="D22" s="1"/>
      <c r="E22" s="2"/>
      <c r="F22" s="2"/>
      <c r="G22" s="2"/>
      <c r="M22" s="2"/>
    </row>
    <row r="23" spans="3:13" x14ac:dyDescent="0.25">
      <c r="C23" s="3"/>
      <c r="D23" s="1"/>
      <c r="E23" s="2"/>
      <c r="F23" s="2"/>
      <c r="G23" s="2"/>
      <c r="M23" s="2"/>
    </row>
    <row r="24" spans="3:13" x14ac:dyDescent="0.25">
      <c r="C24" s="1"/>
      <c r="D24" s="1"/>
      <c r="E24" s="1"/>
      <c r="F24" s="1"/>
      <c r="G24" s="1"/>
      <c r="M24" s="2"/>
    </row>
    <row r="25" spans="3:13" x14ac:dyDescent="0.25">
      <c r="C25" s="1"/>
      <c r="D25" s="1"/>
      <c r="E25" s="1"/>
      <c r="F25" s="1"/>
      <c r="G25" s="1"/>
      <c r="M25" s="2"/>
    </row>
    <row r="26" spans="3:13" x14ac:dyDescent="0.25">
      <c r="C26" s="1"/>
      <c r="D26" s="1"/>
      <c r="E26" s="1"/>
      <c r="F26" s="1"/>
      <c r="G26" s="1"/>
    </row>
    <row r="27" spans="3:13" x14ac:dyDescent="0.25">
      <c r="C27" s="1"/>
      <c r="D27" s="1" t="s">
        <v>8</v>
      </c>
      <c r="E27" s="2">
        <f>SUM(E4:E26)</f>
        <v>46058692</v>
      </c>
      <c r="F27" s="2">
        <f>SUM(F4:F26)</f>
        <v>3684694</v>
      </c>
      <c r="G27" s="2">
        <f>SUM(G4:G26)</f>
        <v>49743386</v>
      </c>
      <c r="I27" s="1"/>
      <c r="J27" s="1" t="s">
        <v>8</v>
      </c>
      <c r="K27" s="2">
        <f>SUM(K4:K26)</f>
        <v>26915185</v>
      </c>
      <c r="L27" s="2">
        <f>SUM(L4:L26)</f>
        <v>2148681</v>
      </c>
      <c r="M27" s="2">
        <f>SUM(M4:M26)</f>
        <v>29063866</v>
      </c>
    </row>
    <row r="28" spans="3:13" x14ac:dyDescent="0.25">
      <c r="D28" s="4"/>
      <c r="E28" s="4"/>
    </row>
    <row r="29" spans="3:13" x14ac:dyDescent="0.25">
      <c r="D29" s="4"/>
      <c r="E29" s="4"/>
    </row>
    <row r="31" spans="3:13" x14ac:dyDescent="0.25">
      <c r="E31" s="4"/>
      <c r="F31" s="4"/>
      <c r="G31" s="4"/>
      <c r="K31" s="4"/>
      <c r="L31" s="4"/>
      <c r="M31" s="4"/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37"/>
  <sheetViews>
    <sheetView workbookViewId="0">
      <selection activeCell="H40" sqref="H40"/>
    </sheetView>
  </sheetViews>
  <sheetFormatPr defaultRowHeight="15" x14ac:dyDescent="0.25"/>
  <cols>
    <col min="2" max="2" width="16.85546875" customWidth="1"/>
    <col min="3" max="3" width="10" style="1" customWidth="1"/>
    <col min="4" max="4" width="33.42578125" style="1" customWidth="1"/>
    <col min="5" max="5" width="12.42578125" style="1" customWidth="1"/>
    <col min="6" max="6" width="10.85546875" style="1" customWidth="1"/>
    <col min="7" max="7" width="11.5703125" style="1" customWidth="1"/>
    <col min="8" max="8" width="22.5703125" customWidth="1"/>
    <col min="10" max="10" width="22.85546875" customWidth="1"/>
    <col min="11" max="11" width="13.140625" customWidth="1"/>
    <col min="12" max="12" width="10.7109375" customWidth="1"/>
    <col min="13" max="13" width="12.7109375" customWidth="1"/>
  </cols>
  <sheetData>
    <row r="3" spans="2:13" x14ac:dyDescent="0.25">
      <c r="B3" s="1" t="s">
        <v>9</v>
      </c>
      <c r="C3" s="1" t="s">
        <v>0</v>
      </c>
      <c r="D3" s="1" t="s">
        <v>10</v>
      </c>
      <c r="E3" s="1" t="s">
        <v>2</v>
      </c>
      <c r="F3" s="1" t="s">
        <v>16</v>
      </c>
      <c r="G3" s="1" t="s">
        <v>17</v>
      </c>
      <c r="H3" s="1" t="s">
        <v>11</v>
      </c>
      <c r="I3" s="1" t="s">
        <v>0</v>
      </c>
      <c r="J3" s="1" t="s">
        <v>12</v>
      </c>
      <c r="K3" s="1" t="s">
        <v>1</v>
      </c>
      <c r="L3" s="1" t="s">
        <v>16</v>
      </c>
      <c r="M3" s="1" t="s">
        <v>18</v>
      </c>
    </row>
    <row r="4" spans="2:13" x14ac:dyDescent="0.25">
      <c r="C4" s="3">
        <v>45717</v>
      </c>
      <c r="D4" s="1" t="s">
        <v>155</v>
      </c>
      <c r="E4" s="2">
        <v>1388889</v>
      </c>
      <c r="F4" s="2">
        <v>111111</v>
      </c>
      <c r="G4" s="2">
        <f>SUM(E4:F4)</f>
        <v>1500000</v>
      </c>
      <c r="H4" s="1"/>
      <c r="I4" s="3">
        <v>45718</v>
      </c>
      <c r="J4" s="1" t="s">
        <v>23</v>
      </c>
      <c r="K4" s="2">
        <v>15771632</v>
      </c>
      <c r="L4" s="2">
        <v>1261731</v>
      </c>
      <c r="M4" s="2">
        <f>SUM(K4:L4)</f>
        <v>17033363</v>
      </c>
    </row>
    <row r="5" spans="2:13" x14ac:dyDescent="0.25">
      <c r="C5" s="3">
        <v>45717</v>
      </c>
      <c r="D5" s="1" t="s">
        <v>156</v>
      </c>
      <c r="E5" s="2">
        <v>1481481</v>
      </c>
      <c r="F5" s="2">
        <v>118519</v>
      </c>
      <c r="G5" s="2">
        <f t="shared" ref="G5:G26" si="0">SUM(E5:F5)</f>
        <v>1600000</v>
      </c>
      <c r="I5" s="3">
        <v>45720</v>
      </c>
      <c r="J5" s="1" t="s">
        <v>160</v>
      </c>
      <c r="K5" s="2">
        <v>28958</v>
      </c>
      <c r="L5" s="2">
        <v>2896</v>
      </c>
      <c r="M5" s="2">
        <f t="shared" ref="M5:M11" si="1">SUM(K5:L5)</f>
        <v>31854</v>
      </c>
    </row>
    <row r="6" spans="2:13" x14ac:dyDescent="0.25">
      <c r="C6" s="3">
        <v>45717</v>
      </c>
      <c r="D6" s="1" t="s">
        <v>157</v>
      </c>
      <c r="E6" s="2">
        <v>3888889</v>
      </c>
      <c r="F6" s="2">
        <v>311111</v>
      </c>
      <c r="G6" s="2">
        <f t="shared" si="0"/>
        <v>4200000</v>
      </c>
      <c r="I6" s="3">
        <v>45723</v>
      </c>
      <c r="J6" s="1" t="s">
        <v>169</v>
      </c>
      <c r="K6" s="2">
        <v>800000</v>
      </c>
      <c r="L6" s="2">
        <v>80000</v>
      </c>
      <c r="M6" s="2">
        <f t="shared" si="1"/>
        <v>880000</v>
      </c>
    </row>
    <row r="7" spans="2:13" x14ac:dyDescent="0.25">
      <c r="C7" s="3">
        <v>45717</v>
      </c>
      <c r="D7" s="1" t="s">
        <v>7</v>
      </c>
      <c r="E7" s="2">
        <v>8432900</v>
      </c>
      <c r="F7" s="2">
        <v>674632</v>
      </c>
      <c r="G7" s="2">
        <f t="shared" si="0"/>
        <v>9107532</v>
      </c>
      <c r="I7" s="3">
        <v>45726</v>
      </c>
      <c r="J7" s="1" t="s">
        <v>79</v>
      </c>
      <c r="K7" s="2">
        <v>2111502</v>
      </c>
      <c r="L7" s="2">
        <v>114976</v>
      </c>
      <c r="M7" s="2">
        <f t="shared" si="1"/>
        <v>2226478</v>
      </c>
    </row>
    <row r="8" spans="2:13" x14ac:dyDescent="0.25">
      <c r="C8" s="3">
        <v>45719</v>
      </c>
      <c r="D8" s="1" t="s">
        <v>158</v>
      </c>
      <c r="E8" s="2">
        <v>1944444</v>
      </c>
      <c r="F8" s="2">
        <v>155556</v>
      </c>
      <c r="G8" s="2">
        <f t="shared" si="0"/>
        <v>2100000</v>
      </c>
      <c r="I8" s="3">
        <v>45736</v>
      </c>
      <c r="J8" s="1" t="s">
        <v>81</v>
      </c>
      <c r="K8" s="2">
        <v>916667</v>
      </c>
      <c r="L8" s="2">
        <v>73333</v>
      </c>
      <c r="M8" s="2">
        <f t="shared" si="1"/>
        <v>990000</v>
      </c>
    </row>
    <row r="9" spans="2:13" x14ac:dyDescent="0.25">
      <c r="C9" s="3">
        <v>45723</v>
      </c>
      <c r="D9" s="1" t="s">
        <v>161</v>
      </c>
      <c r="E9" s="2">
        <v>555556</v>
      </c>
      <c r="F9" s="2">
        <v>44444</v>
      </c>
      <c r="G9" s="2">
        <f t="shared" si="0"/>
        <v>600000</v>
      </c>
      <c r="I9" s="3">
        <v>45726</v>
      </c>
      <c r="J9" s="1" t="s">
        <v>61</v>
      </c>
      <c r="K9" s="2">
        <v>240909</v>
      </c>
      <c r="L9" s="2">
        <v>19273</v>
      </c>
      <c r="M9" s="2">
        <f t="shared" si="1"/>
        <v>260182</v>
      </c>
    </row>
    <row r="10" spans="2:13" x14ac:dyDescent="0.25">
      <c r="C10" s="3">
        <v>45723</v>
      </c>
      <c r="D10" s="1" t="s">
        <v>162</v>
      </c>
      <c r="E10" s="2">
        <v>3333333</v>
      </c>
      <c r="F10" s="2">
        <v>266667</v>
      </c>
      <c r="G10" s="2">
        <f t="shared" si="0"/>
        <v>3600000</v>
      </c>
      <c r="I10" s="3">
        <v>45746</v>
      </c>
      <c r="J10" s="1" t="s">
        <v>188</v>
      </c>
      <c r="K10" s="2">
        <v>1063718</v>
      </c>
      <c r="L10" s="2">
        <v>106372</v>
      </c>
      <c r="M10" s="2">
        <f t="shared" si="1"/>
        <v>1170090</v>
      </c>
    </row>
    <row r="11" spans="2:13" x14ac:dyDescent="0.25">
      <c r="C11" s="3">
        <v>45723</v>
      </c>
      <c r="D11" s="1" t="s">
        <v>163</v>
      </c>
      <c r="E11" s="2">
        <v>3333333</v>
      </c>
      <c r="F11" s="2">
        <v>266667</v>
      </c>
      <c r="G11" s="2">
        <f t="shared" si="0"/>
        <v>3600000</v>
      </c>
      <c r="I11" s="3">
        <v>45747</v>
      </c>
      <c r="J11" s="1" t="s">
        <v>50</v>
      </c>
      <c r="K11" s="2">
        <v>510455</v>
      </c>
      <c r="L11" s="2">
        <v>51046</v>
      </c>
      <c r="M11" s="2">
        <f t="shared" si="1"/>
        <v>561501</v>
      </c>
    </row>
    <row r="12" spans="2:13" x14ac:dyDescent="0.25">
      <c r="C12" s="3">
        <v>45726</v>
      </c>
      <c r="D12" s="1" t="s">
        <v>164</v>
      </c>
      <c r="E12" s="2">
        <v>277778</v>
      </c>
      <c r="F12" s="2">
        <v>22222</v>
      </c>
      <c r="G12" s="2">
        <f t="shared" si="0"/>
        <v>300000</v>
      </c>
      <c r="I12" s="3"/>
      <c r="J12" s="1"/>
      <c r="K12" s="2"/>
      <c r="L12" s="2"/>
      <c r="M12" s="2"/>
    </row>
    <row r="13" spans="2:13" x14ac:dyDescent="0.25">
      <c r="C13" s="3">
        <v>45726</v>
      </c>
      <c r="D13" s="1" t="s">
        <v>165</v>
      </c>
      <c r="E13" s="2">
        <v>277778</v>
      </c>
      <c r="F13" s="2">
        <v>22222</v>
      </c>
      <c r="G13" s="2">
        <f t="shared" si="0"/>
        <v>300000</v>
      </c>
      <c r="I13" s="3"/>
      <c r="J13" s="1"/>
      <c r="K13" s="2"/>
      <c r="L13" s="2"/>
      <c r="M13" s="2"/>
    </row>
    <row r="14" spans="2:13" x14ac:dyDescent="0.25">
      <c r="C14" s="3">
        <v>45726</v>
      </c>
      <c r="D14" s="1" t="s">
        <v>166</v>
      </c>
      <c r="E14" s="2">
        <v>555556</v>
      </c>
      <c r="F14" s="2">
        <v>44444</v>
      </c>
      <c r="G14" s="2">
        <f t="shared" si="0"/>
        <v>600000</v>
      </c>
      <c r="I14" s="3"/>
      <c r="J14" s="1"/>
      <c r="K14" s="2"/>
      <c r="L14" s="2"/>
      <c r="M14" s="2"/>
    </row>
    <row r="15" spans="2:13" x14ac:dyDescent="0.25">
      <c r="C15" s="3">
        <v>45727</v>
      </c>
      <c r="D15" s="1" t="s">
        <v>167</v>
      </c>
      <c r="E15" s="2">
        <v>1944444</v>
      </c>
      <c r="F15" s="2">
        <v>155556</v>
      </c>
      <c r="G15" s="2">
        <f t="shared" si="0"/>
        <v>2100000</v>
      </c>
      <c r="I15" s="3"/>
      <c r="J15" s="1"/>
      <c r="K15" s="2"/>
      <c r="L15" s="2"/>
      <c r="M15" s="2"/>
    </row>
    <row r="16" spans="2:13" x14ac:dyDescent="0.25">
      <c r="C16" s="3">
        <v>45727</v>
      </c>
      <c r="D16" s="1" t="s">
        <v>168</v>
      </c>
      <c r="E16" s="2">
        <v>1111111</v>
      </c>
      <c r="F16" s="2">
        <v>88889</v>
      </c>
      <c r="G16" s="2">
        <f t="shared" si="0"/>
        <v>1200000</v>
      </c>
      <c r="I16" s="1"/>
      <c r="J16" s="1"/>
      <c r="K16" s="1"/>
      <c r="L16" s="1"/>
      <c r="M16" s="2"/>
    </row>
    <row r="17" spans="3:13" x14ac:dyDescent="0.25">
      <c r="C17" s="3">
        <v>45730</v>
      </c>
      <c r="D17" s="1" t="s">
        <v>173</v>
      </c>
      <c r="E17" s="2">
        <v>3402778</v>
      </c>
      <c r="F17" s="2">
        <v>272222</v>
      </c>
      <c r="G17" s="2">
        <f t="shared" si="0"/>
        <v>3675000</v>
      </c>
      <c r="I17" s="1"/>
      <c r="J17" s="1"/>
      <c r="K17" s="1"/>
      <c r="L17" s="1"/>
      <c r="M17" s="2"/>
    </row>
    <row r="18" spans="3:13" x14ac:dyDescent="0.25">
      <c r="C18" s="3">
        <v>45731</v>
      </c>
      <c r="D18" s="1" t="s">
        <v>174</v>
      </c>
      <c r="E18" s="2">
        <v>1481481</v>
      </c>
      <c r="F18" s="2">
        <v>118519</v>
      </c>
      <c r="G18" s="2">
        <f t="shared" si="0"/>
        <v>1600000</v>
      </c>
      <c r="I18" s="1"/>
      <c r="J18" s="1"/>
      <c r="K18" s="1"/>
      <c r="L18" s="1"/>
      <c r="M18" s="2"/>
    </row>
    <row r="19" spans="3:13" x14ac:dyDescent="0.25">
      <c r="C19" s="3">
        <v>45732</v>
      </c>
      <c r="D19" s="1" t="s">
        <v>175</v>
      </c>
      <c r="E19" s="2">
        <v>555556</v>
      </c>
      <c r="F19" s="2">
        <v>44444</v>
      </c>
      <c r="G19" s="2">
        <f t="shared" si="0"/>
        <v>600000</v>
      </c>
      <c r="I19" s="1"/>
      <c r="J19" s="1"/>
      <c r="K19" s="1"/>
      <c r="L19" s="1"/>
      <c r="M19" s="2"/>
    </row>
    <row r="20" spans="3:13" x14ac:dyDescent="0.25">
      <c r="C20" s="3">
        <v>45733</v>
      </c>
      <c r="D20" s="1" t="s">
        <v>176</v>
      </c>
      <c r="E20" s="2">
        <v>277778</v>
      </c>
      <c r="F20" s="2">
        <v>22222</v>
      </c>
      <c r="G20" s="2">
        <f t="shared" si="0"/>
        <v>300000</v>
      </c>
      <c r="I20" s="1"/>
      <c r="J20" s="1"/>
      <c r="K20" s="1"/>
      <c r="L20" s="1"/>
      <c r="M20" s="2"/>
    </row>
    <row r="21" spans="3:13" x14ac:dyDescent="0.25">
      <c r="C21" s="3">
        <v>45736</v>
      </c>
      <c r="D21" s="1" t="s">
        <v>177</v>
      </c>
      <c r="E21" s="2">
        <v>555556</v>
      </c>
      <c r="F21" s="2">
        <v>44444</v>
      </c>
      <c r="G21" s="2">
        <f t="shared" si="0"/>
        <v>600000</v>
      </c>
      <c r="I21" s="1"/>
      <c r="J21" s="1"/>
      <c r="K21" s="1"/>
      <c r="L21" s="1"/>
      <c r="M21" s="2"/>
    </row>
    <row r="22" spans="3:13" x14ac:dyDescent="0.25">
      <c r="C22" s="3">
        <v>45736</v>
      </c>
      <c r="D22" s="1" t="s">
        <v>178</v>
      </c>
      <c r="E22" s="2">
        <v>1388889</v>
      </c>
      <c r="F22" s="2">
        <v>111111</v>
      </c>
      <c r="G22" s="2">
        <f t="shared" si="0"/>
        <v>1500000</v>
      </c>
      <c r="M22" s="2"/>
    </row>
    <row r="23" spans="3:13" x14ac:dyDescent="0.25">
      <c r="C23" s="3">
        <v>45736</v>
      </c>
      <c r="D23" s="1" t="s">
        <v>179</v>
      </c>
      <c r="E23" s="2">
        <v>555556</v>
      </c>
      <c r="F23" s="2">
        <v>44444</v>
      </c>
      <c r="G23" s="2">
        <f t="shared" si="0"/>
        <v>600000</v>
      </c>
      <c r="M23" s="2"/>
    </row>
    <row r="24" spans="3:13" x14ac:dyDescent="0.25">
      <c r="C24" s="3">
        <v>45738</v>
      </c>
      <c r="D24" s="1" t="s">
        <v>180</v>
      </c>
      <c r="E24" s="2">
        <v>2592593</v>
      </c>
      <c r="F24" s="2">
        <v>207407</v>
      </c>
      <c r="G24" s="2">
        <f t="shared" si="0"/>
        <v>2800000</v>
      </c>
      <c r="M24" s="2"/>
    </row>
    <row r="25" spans="3:13" x14ac:dyDescent="0.25">
      <c r="C25" s="3">
        <v>45738</v>
      </c>
      <c r="D25" s="1" t="s">
        <v>181</v>
      </c>
      <c r="E25" s="2">
        <v>6481481</v>
      </c>
      <c r="F25" s="2">
        <v>518519</v>
      </c>
      <c r="G25" s="2">
        <f t="shared" si="0"/>
        <v>7000000</v>
      </c>
      <c r="M25" s="2"/>
    </row>
    <row r="26" spans="3:13" x14ac:dyDescent="0.25">
      <c r="C26" s="3">
        <v>45739</v>
      </c>
      <c r="D26" s="1" t="s">
        <v>182</v>
      </c>
      <c r="E26" s="2">
        <v>555556</v>
      </c>
      <c r="F26" s="2">
        <v>44444</v>
      </c>
      <c r="G26" s="2">
        <f t="shared" si="0"/>
        <v>600000</v>
      </c>
    </row>
    <row r="27" spans="3:13" x14ac:dyDescent="0.25">
      <c r="C27" s="3">
        <v>45739</v>
      </c>
      <c r="D27" s="1" t="s">
        <v>183</v>
      </c>
      <c r="E27" s="2">
        <v>370370</v>
      </c>
      <c r="F27" s="2">
        <v>29630</v>
      </c>
      <c r="G27" s="2">
        <f t="shared" ref="G27:G36" si="2">SUM(E27:F27)</f>
        <v>400000</v>
      </c>
    </row>
    <row r="28" spans="3:13" x14ac:dyDescent="0.25">
      <c r="C28" s="3">
        <v>45739</v>
      </c>
      <c r="D28" s="2" t="s">
        <v>184</v>
      </c>
      <c r="E28" s="2">
        <v>1388889</v>
      </c>
      <c r="F28" s="2">
        <v>111111</v>
      </c>
      <c r="G28" s="2">
        <f t="shared" si="2"/>
        <v>1500000</v>
      </c>
    </row>
    <row r="29" spans="3:13" x14ac:dyDescent="0.25">
      <c r="C29" s="3">
        <v>45739</v>
      </c>
      <c r="D29" s="2" t="s">
        <v>185</v>
      </c>
      <c r="E29" s="2">
        <v>370370</v>
      </c>
      <c r="F29" s="2">
        <v>29630</v>
      </c>
      <c r="G29" s="2">
        <f t="shared" si="2"/>
        <v>400000</v>
      </c>
    </row>
    <row r="30" spans="3:13" x14ac:dyDescent="0.25">
      <c r="C30" s="3">
        <v>45742</v>
      </c>
      <c r="D30" s="1" t="s">
        <v>186</v>
      </c>
      <c r="E30" s="2">
        <v>277778</v>
      </c>
      <c r="F30" s="2">
        <v>22222</v>
      </c>
      <c r="G30" s="2">
        <f t="shared" si="2"/>
        <v>300000</v>
      </c>
    </row>
    <row r="31" spans="3:13" x14ac:dyDescent="0.25">
      <c r="C31" s="3">
        <v>45742</v>
      </c>
      <c r="D31" s="1" t="s">
        <v>187</v>
      </c>
      <c r="E31" s="2">
        <v>1481481</v>
      </c>
      <c r="F31" s="2">
        <v>118519</v>
      </c>
      <c r="G31" s="2">
        <f t="shared" si="2"/>
        <v>1600000</v>
      </c>
      <c r="K31" s="4"/>
      <c r="L31" s="4"/>
      <c r="M31" s="4"/>
    </row>
    <row r="32" spans="3:13" x14ac:dyDescent="0.25">
      <c r="C32" s="3">
        <v>45746</v>
      </c>
      <c r="D32" s="1" t="s">
        <v>189</v>
      </c>
      <c r="E32" s="2">
        <v>555556</v>
      </c>
      <c r="F32" s="2">
        <v>44444</v>
      </c>
      <c r="G32" s="2">
        <f t="shared" si="2"/>
        <v>600000</v>
      </c>
    </row>
    <row r="33" spans="3:13" x14ac:dyDescent="0.25">
      <c r="C33" s="3">
        <v>45746</v>
      </c>
      <c r="D33" s="1" t="s">
        <v>190</v>
      </c>
      <c r="E33" s="2">
        <v>277778</v>
      </c>
      <c r="F33" s="2">
        <v>22222</v>
      </c>
      <c r="G33" s="2">
        <f t="shared" si="2"/>
        <v>300000</v>
      </c>
    </row>
    <row r="34" spans="3:13" x14ac:dyDescent="0.25">
      <c r="C34" s="3">
        <v>45746</v>
      </c>
      <c r="D34" s="1" t="s">
        <v>191</v>
      </c>
      <c r="E34" s="2">
        <v>5555556</v>
      </c>
      <c r="F34" s="2">
        <v>444444</v>
      </c>
      <c r="G34" s="2">
        <f t="shared" si="2"/>
        <v>6000000</v>
      </c>
    </row>
    <row r="35" spans="3:13" x14ac:dyDescent="0.25">
      <c r="C35" s="3">
        <v>45746</v>
      </c>
      <c r="D35" s="1" t="s">
        <v>192</v>
      </c>
      <c r="E35" s="2">
        <v>833333</v>
      </c>
      <c r="F35" s="2">
        <v>66667</v>
      </c>
      <c r="G35" s="2">
        <f t="shared" si="2"/>
        <v>900000</v>
      </c>
    </row>
    <row r="36" spans="3:13" x14ac:dyDescent="0.25">
      <c r="C36" s="3">
        <v>45746</v>
      </c>
      <c r="D36" s="1" t="s">
        <v>198</v>
      </c>
      <c r="E36" s="2">
        <v>1296296</v>
      </c>
      <c r="F36" s="2">
        <v>103704</v>
      </c>
      <c r="G36" s="2">
        <f t="shared" si="2"/>
        <v>1400000</v>
      </c>
    </row>
    <row r="37" spans="3:13" x14ac:dyDescent="0.25">
      <c r="D37" s="1" t="s">
        <v>8</v>
      </c>
      <c r="E37" s="2">
        <f>SUM(E4:E36)</f>
        <v>58780123</v>
      </c>
      <c r="F37" s="2">
        <f>SUM(F4:F36)</f>
        <v>4702409</v>
      </c>
      <c r="G37" s="2">
        <f>SUM(G4:G36)</f>
        <v>63482532</v>
      </c>
      <c r="I37" s="1"/>
      <c r="J37" s="1" t="s">
        <v>8</v>
      </c>
      <c r="K37" s="2">
        <f>SUM(K4:K26)</f>
        <v>21443841</v>
      </c>
      <c r="L37" s="2">
        <f>SUM(L4:L26)</f>
        <v>1709627</v>
      </c>
      <c r="M37" s="2">
        <f>SUM(M4:M26)</f>
        <v>23153468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37"/>
  <sheetViews>
    <sheetView workbookViewId="0">
      <selection activeCell="K13" sqref="K13"/>
    </sheetView>
  </sheetViews>
  <sheetFormatPr defaultRowHeight="15" x14ac:dyDescent="0.25"/>
  <cols>
    <col min="2" max="2" width="16.85546875" customWidth="1"/>
    <col min="3" max="3" width="10" style="1" customWidth="1"/>
    <col min="4" max="4" width="33.42578125" style="1" customWidth="1"/>
    <col min="5" max="5" width="12.42578125" style="1" customWidth="1"/>
    <col min="6" max="6" width="10.85546875" style="1" customWidth="1"/>
    <col min="7" max="7" width="11.5703125" style="1" customWidth="1"/>
    <col min="8" max="8" width="22.5703125" customWidth="1"/>
    <col min="10" max="10" width="22.85546875" customWidth="1"/>
    <col min="11" max="11" width="13.140625" customWidth="1"/>
    <col min="12" max="12" width="10.7109375" customWidth="1"/>
    <col min="13" max="13" width="12.7109375" customWidth="1"/>
  </cols>
  <sheetData>
    <row r="3" spans="2:13" x14ac:dyDescent="0.25">
      <c r="B3" s="1" t="s">
        <v>9</v>
      </c>
      <c r="C3" s="1" t="s">
        <v>0</v>
      </c>
      <c r="D3" s="1" t="s">
        <v>10</v>
      </c>
      <c r="E3" s="1" t="s">
        <v>2</v>
      </c>
      <c r="F3" s="1" t="s">
        <v>16</v>
      </c>
      <c r="G3" s="1" t="s">
        <v>17</v>
      </c>
      <c r="H3" s="1" t="s">
        <v>11</v>
      </c>
      <c r="I3" s="1" t="s">
        <v>0</v>
      </c>
      <c r="J3" s="1" t="s">
        <v>12</v>
      </c>
      <c r="K3" s="1" t="s">
        <v>1</v>
      </c>
      <c r="L3" s="1" t="s">
        <v>16</v>
      </c>
      <c r="M3" s="1" t="s">
        <v>18</v>
      </c>
    </row>
    <row r="4" spans="2:13" x14ac:dyDescent="0.25">
      <c r="C4" s="3">
        <v>45748</v>
      </c>
      <c r="D4" s="1" t="s">
        <v>193</v>
      </c>
      <c r="E4" s="2">
        <v>1111111</v>
      </c>
      <c r="F4" s="2">
        <v>88889</v>
      </c>
      <c r="G4" s="2">
        <f>SUM(E4:F4)</f>
        <v>1200000</v>
      </c>
      <c r="H4" s="1"/>
      <c r="I4" s="3">
        <v>45751</v>
      </c>
      <c r="J4" s="1" t="s">
        <v>106</v>
      </c>
      <c r="K4" s="2">
        <v>24203</v>
      </c>
      <c r="L4" s="2">
        <v>2420</v>
      </c>
      <c r="M4" s="2">
        <f>SUM(K4:L4)</f>
        <v>26623</v>
      </c>
    </row>
    <row r="5" spans="2:13" x14ac:dyDescent="0.25">
      <c r="C5" s="3">
        <v>45748</v>
      </c>
      <c r="D5" s="1" t="s">
        <v>194</v>
      </c>
      <c r="E5" s="2">
        <v>277778</v>
      </c>
      <c r="F5" s="2">
        <v>22222</v>
      </c>
      <c r="G5" s="2">
        <f t="shared" ref="G5:G26" si="0">SUM(E5:F5)</f>
        <v>300000</v>
      </c>
      <c r="I5" s="3">
        <v>45749</v>
      </c>
      <c r="J5" s="1" t="s">
        <v>55</v>
      </c>
      <c r="K5" s="2">
        <v>13089639</v>
      </c>
      <c r="L5" s="2">
        <v>1047171</v>
      </c>
      <c r="M5" s="2">
        <f t="shared" ref="M5:M13" si="1">SUM(K5:L5)</f>
        <v>14136810</v>
      </c>
    </row>
    <row r="6" spans="2:13" x14ac:dyDescent="0.25">
      <c r="C6" s="3">
        <v>45748</v>
      </c>
      <c r="D6" s="1" t="s">
        <v>195</v>
      </c>
      <c r="E6" s="2">
        <v>370370</v>
      </c>
      <c r="F6" s="2">
        <v>29630</v>
      </c>
      <c r="G6" s="2">
        <f t="shared" si="0"/>
        <v>400000</v>
      </c>
      <c r="I6" s="3">
        <v>45757</v>
      </c>
      <c r="J6" s="1" t="s">
        <v>201</v>
      </c>
      <c r="K6" s="2">
        <v>6309091</v>
      </c>
      <c r="L6" s="2">
        <v>630909</v>
      </c>
      <c r="M6" s="2">
        <f t="shared" si="1"/>
        <v>6940000</v>
      </c>
    </row>
    <row r="7" spans="2:13" x14ac:dyDescent="0.25">
      <c r="C7" s="3">
        <v>45748</v>
      </c>
      <c r="D7" s="1" t="s">
        <v>196</v>
      </c>
      <c r="E7" s="2">
        <v>1481481</v>
      </c>
      <c r="F7" s="2">
        <v>118519</v>
      </c>
      <c r="G7" s="2">
        <f t="shared" si="0"/>
        <v>1600000</v>
      </c>
      <c r="I7" s="3">
        <v>45761</v>
      </c>
      <c r="J7" s="1" t="s">
        <v>206</v>
      </c>
      <c r="K7" s="2">
        <v>916667</v>
      </c>
      <c r="L7" s="2">
        <v>73333</v>
      </c>
      <c r="M7" s="2">
        <f t="shared" si="1"/>
        <v>990000</v>
      </c>
    </row>
    <row r="8" spans="2:13" x14ac:dyDescent="0.25">
      <c r="C8" s="3">
        <v>45748</v>
      </c>
      <c r="D8" s="1" t="s">
        <v>197</v>
      </c>
      <c r="E8" s="2">
        <v>833333</v>
      </c>
      <c r="F8" s="2">
        <v>66667</v>
      </c>
      <c r="G8" s="2">
        <f t="shared" si="0"/>
        <v>900000</v>
      </c>
      <c r="I8" s="3">
        <v>45759</v>
      </c>
      <c r="J8" s="1" t="s">
        <v>65</v>
      </c>
      <c r="K8" s="2">
        <v>1324000</v>
      </c>
      <c r="L8" s="2">
        <v>132400</v>
      </c>
      <c r="M8" s="2">
        <f t="shared" si="1"/>
        <v>1456400</v>
      </c>
    </row>
    <row r="9" spans="2:13" x14ac:dyDescent="0.25">
      <c r="C9" s="3">
        <v>45750</v>
      </c>
      <c r="D9" s="1" t="s">
        <v>7</v>
      </c>
      <c r="E9" s="2">
        <v>9091500</v>
      </c>
      <c r="F9" s="2">
        <v>727320</v>
      </c>
      <c r="G9" s="2">
        <f t="shared" si="0"/>
        <v>9818820</v>
      </c>
      <c r="I9" s="3">
        <v>45757</v>
      </c>
      <c r="J9" s="1" t="s">
        <v>79</v>
      </c>
      <c r="K9" s="2">
        <v>1871168</v>
      </c>
      <c r="L9" s="2">
        <v>101890</v>
      </c>
      <c r="M9" s="2">
        <f t="shared" si="1"/>
        <v>1973058</v>
      </c>
    </row>
    <row r="10" spans="2:13" x14ac:dyDescent="0.25">
      <c r="C10" s="3">
        <v>45752</v>
      </c>
      <c r="D10" s="1" t="s">
        <v>199</v>
      </c>
      <c r="E10" s="2">
        <v>1388889</v>
      </c>
      <c r="F10" s="2">
        <v>111111</v>
      </c>
      <c r="G10" s="2">
        <f t="shared" si="0"/>
        <v>1500000</v>
      </c>
      <c r="I10" s="3">
        <v>45750</v>
      </c>
      <c r="J10" s="1" t="s">
        <v>61</v>
      </c>
      <c r="K10" s="2">
        <v>240909</v>
      </c>
      <c r="L10" s="2">
        <v>19273</v>
      </c>
      <c r="M10" s="2">
        <f t="shared" si="1"/>
        <v>260182</v>
      </c>
    </row>
    <row r="11" spans="2:13" x14ac:dyDescent="0.25">
      <c r="C11" s="3">
        <v>45756</v>
      </c>
      <c r="D11" s="1" t="s">
        <v>200</v>
      </c>
      <c r="E11" s="2">
        <v>6481481</v>
      </c>
      <c r="F11" s="2">
        <v>518519</v>
      </c>
      <c r="G11" s="2">
        <f t="shared" si="0"/>
        <v>7000000</v>
      </c>
      <c r="I11" s="3">
        <v>45777</v>
      </c>
      <c r="J11" s="1" t="s">
        <v>212</v>
      </c>
      <c r="K11" s="2">
        <v>822918</v>
      </c>
      <c r="L11" s="2">
        <v>65832</v>
      </c>
      <c r="M11" s="2">
        <f t="shared" si="1"/>
        <v>888750</v>
      </c>
    </row>
    <row r="12" spans="2:13" x14ac:dyDescent="0.25">
      <c r="C12" s="3">
        <v>45759</v>
      </c>
      <c r="D12" s="1" t="s">
        <v>202</v>
      </c>
      <c r="E12" s="2">
        <v>277778</v>
      </c>
      <c r="F12" s="2">
        <v>22222</v>
      </c>
      <c r="G12" s="2">
        <f t="shared" si="0"/>
        <v>300000</v>
      </c>
      <c r="I12" s="3">
        <v>45776</v>
      </c>
      <c r="J12" s="1" t="s">
        <v>188</v>
      </c>
      <c r="K12" s="2">
        <v>708170</v>
      </c>
      <c r="L12" s="2">
        <v>70817</v>
      </c>
      <c r="M12" s="2">
        <f t="shared" si="1"/>
        <v>778987</v>
      </c>
    </row>
    <row r="13" spans="2:13" x14ac:dyDescent="0.25">
      <c r="C13" s="3">
        <v>45762</v>
      </c>
      <c r="D13" s="1" t="s">
        <v>203</v>
      </c>
      <c r="E13" s="2">
        <v>3148148</v>
      </c>
      <c r="F13" s="2">
        <v>251852</v>
      </c>
      <c r="G13" s="2">
        <f t="shared" si="0"/>
        <v>3400000</v>
      </c>
      <c r="I13" s="3">
        <v>45777</v>
      </c>
      <c r="J13" s="1" t="s">
        <v>50</v>
      </c>
      <c r="K13" s="2">
        <v>510455</v>
      </c>
      <c r="L13" s="2">
        <v>51046</v>
      </c>
      <c r="M13" s="2">
        <f t="shared" si="1"/>
        <v>561501</v>
      </c>
    </row>
    <row r="14" spans="2:13" x14ac:dyDescent="0.25">
      <c r="C14" s="3">
        <v>45762</v>
      </c>
      <c r="D14" s="1" t="s">
        <v>204</v>
      </c>
      <c r="E14" s="2">
        <v>277778</v>
      </c>
      <c r="F14" s="2">
        <v>22222</v>
      </c>
      <c r="G14" s="2">
        <f t="shared" si="0"/>
        <v>300000</v>
      </c>
      <c r="I14" s="3"/>
      <c r="J14" s="1"/>
      <c r="K14" s="2"/>
      <c r="L14" s="2"/>
      <c r="M14" s="2"/>
    </row>
    <row r="15" spans="2:13" x14ac:dyDescent="0.25">
      <c r="C15" s="3">
        <v>45762</v>
      </c>
      <c r="D15" s="1" t="s">
        <v>205</v>
      </c>
      <c r="E15" s="2">
        <v>1666667</v>
      </c>
      <c r="F15" s="2">
        <v>133333</v>
      </c>
      <c r="G15" s="2">
        <f t="shared" si="0"/>
        <v>1800000</v>
      </c>
      <c r="I15" s="3"/>
      <c r="J15" s="1"/>
      <c r="K15" s="2"/>
      <c r="L15" s="2"/>
      <c r="M15" s="2"/>
    </row>
    <row r="16" spans="2:13" x14ac:dyDescent="0.25">
      <c r="C16" s="3">
        <v>45763</v>
      </c>
      <c r="D16" s="1" t="s">
        <v>207</v>
      </c>
      <c r="E16" s="2">
        <v>1296296</v>
      </c>
      <c r="F16" s="2">
        <v>103704</v>
      </c>
      <c r="G16" s="2">
        <f t="shared" si="0"/>
        <v>1400000</v>
      </c>
      <c r="I16" s="1"/>
      <c r="J16" s="1"/>
      <c r="K16" s="1"/>
      <c r="L16" s="1"/>
      <c r="M16" s="2"/>
    </row>
    <row r="17" spans="3:13" x14ac:dyDescent="0.25">
      <c r="C17" s="3">
        <v>45766</v>
      </c>
      <c r="D17" s="1" t="s">
        <v>208</v>
      </c>
      <c r="E17" s="2">
        <v>1000000</v>
      </c>
      <c r="F17" s="2">
        <v>80000</v>
      </c>
      <c r="G17" s="2">
        <f t="shared" si="0"/>
        <v>1080000</v>
      </c>
      <c r="I17" s="1"/>
      <c r="J17" s="1"/>
      <c r="K17" s="1"/>
      <c r="L17" s="1"/>
      <c r="M17" s="2"/>
    </row>
    <row r="18" spans="3:13" x14ac:dyDescent="0.25">
      <c r="C18" s="3">
        <v>45770</v>
      </c>
      <c r="D18" s="1" t="s">
        <v>199</v>
      </c>
      <c r="E18" s="2">
        <v>3750000</v>
      </c>
      <c r="F18" s="2">
        <v>300000</v>
      </c>
      <c r="G18" s="2">
        <f t="shared" si="0"/>
        <v>4050000</v>
      </c>
      <c r="I18" s="1"/>
      <c r="J18" s="1"/>
      <c r="K18" s="1"/>
      <c r="L18" s="1"/>
      <c r="M18" s="2"/>
    </row>
    <row r="19" spans="3:13" x14ac:dyDescent="0.25">
      <c r="C19" s="3">
        <v>45771</v>
      </c>
      <c r="D19" s="1" t="s">
        <v>209</v>
      </c>
      <c r="E19" s="2">
        <v>555556</v>
      </c>
      <c r="F19" s="2">
        <v>44444</v>
      </c>
      <c r="G19" s="2">
        <f t="shared" si="0"/>
        <v>600000</v>
      </c>
      <c r="I19" s="1"/>
      <c r="J19" s="1"/>
      <c r="K19" s="1"/>
      <c r="L19" s="1"/>
      <c r="M19" s="2"/>
    </row>
    <row r="20" spans="3:13" x14ac:dyDescent="0.25">
      <c r="C20" s="3">
        <v>45771</v>
      </c>
      <c r="D20" s="1" t="s">
        <v>210</v>
      </c>
      <c r="E20" s="2">
        <v>925926</v>
      </c>
      <c r="F20" s="2">
        <v>74074</v>
      </c>
      <c r="G20" s="2">
        <f t="shared" si="0"/>
        <v>1000000</v>
      </c>
      <c r="I20" s="1"/>
      <c r="J20" s="1"/>
      <c r="K20" s="1"/>
      <c r="L20" s="1"/>
      <c r="M20" s="2"/>
    </row>
    <row r="21" spans="3:13" x14ac:dyDescent="0.25">
      <c r="C21" s="3">
        <v>45775</v>
      </c>
      <c r="D21" s="1" t="s">
        <v>211</v>
      </c>
      <c r="E21" s="2">
        <v>1111111</v>
      </c>
      <c r="F21" s="2">
        <v>88889</v>
      </c>
      <c r="G21" s="2">
        <f t="shared" si="0"/>
        <v>1200000</v>
      </c>
      <c r="I21" s="1"/>
      <c r="J21" s="1"/>
      <c r="K21" s="1"/>
      <c r="L21" s="1"/>
      <c r="M21" s="2"/>
    </row>
    <row r="22" spans="3:13" x14ac:dyDescent="0.25">
      <c r="C22" s="3"/>
      <c r="E22" s="2"/>
      <c r="F22" s="2"/>
      <c r="G22" s="2">
        <f t="shared" si="0"/>
        <v>0</v>
      </c>
      <c r="M22" s="2"/>
    </row>
    <row r="23" spans="3:13" x14ac:dyDescent="0.25">
      <c r="C23" s="3"/>
      <c r="E23" s="2"/>
      <c r="F23" s="2"/>
      <c r="G23" s="2">
        <f t="shared" si="0"/>
        <v>0</v>
      </c>
      <c r="M23" s="2"/>
    </row>
    <row r="24" spans="3:13" x14ac:dyDescent="0.25">
      <c r="C24" s="3"/>
      <c r="E24" s="2"/>
      <c r="F24" s="2"/>
      <c r="G24" s="2">
        <f t="shared" si="0"/>
        <v>0</v>
      </c>
      <c r="M24" s="2"/>
    </row>
    <row r="25" spans="3:13" x14ac:dyDescent="0.25">
      <c r="C25" s="3"/>
      <c r="E25" s="2"/>
      <c r="F25" s="2"/>
      <c r="G25" s="2">
        <f t="shared" si="0"/>
        <v>0</v>
      </c>
      <c r="M25" s="2"/>
    </row>
    <row r="26" spans="3:13" x14ac:dyDescent="0.25">
      <c r="C26" s="3"/>
      <c r="E26" s="2"/>
      <c r="F26" s="2"/>
      <c r="G26" s="2">
        <f t="shared" si="0"/>
        <v>0</v>
      </c>
    </row>
    <row r="27" spans="3:13" x14ac:dyDescent="0.25">
      <c r="C27" s="3"/>
      <c r="E27" s="2"/>
      <c r="F27" s="2"/>
      <c r="G27" s="2">
        <f t="shared" ref="G27:G35" si="2">SUM(E27:F27)</f>
        <v>0</v>
      </c>
    </row>
    <row r="28" spans="3:13" x14ac:dyDescent="0.25">
      <c r="C28" s="3"/>
      <c r="D28" s="2"/>
      <c r="E28" s="2"/>
      <c r="F28" s="2"/>
      <c r="G28" s="2">
        <f t="shared" si="2"/>
        <v>0</v>
      </c>
    </row>
    <row r="29" spans="3:13" x14ac:dyDescent="0.25">
      <c r="C29" s="3"/>
      <c r="D29" s="2"/>
      <c r="E29" s="2"/>
      <c r="F29" s="2"/>
      <c r="G29" s="2">
        <f t="shared" si="2"/>
        <v>0</v>
      </c>
    </row>
    <row r="30" spans="3:13" x14ac:dyDescent="0.25">
      <c r="C30" s="3"/>
      <c r="E30" s="2"/>
      <c r="F30" s="2"/>
      <c r="G30" s="2">
        <f t="shared" si="2"/>
        <v>0</v>
      </c>
    </row>
    <row r="31" spans="3:13" x14ac:dyDescent="0.25">
      <c r="C31" s="3"/>
      <c r="E31" s="2"/>
      <c r="F31" s="2"/>
      <c r="G31" s="2">
        <f t="shared" si="2"/>
        <v>0</v>
      </c>
      <c r="K31" s="4"/>
      <c r="L31" s="4"/>
      <c r="M31" s="4"/>
    </row>
    <row r="32" spans="3:13" x14ac:dyDescent="0.25">
      <c r="C32" s="3"/>
      <c r="E32" s="2"/>
      <c r="F32" s="2"/>
      <c r="G32" s="2">
        <f t="shared" si="2"/>
        <v>0</v>
      </c>
    </row>
    <row r="33" spans="3:13" x14ac:dyDescent="0.25">
      <c r="C33" s="3"/>
      <c r="E33" s="2"/>
      <c r="F33" s="2"/>
      <c r="G33" s="2">
        <f t="shared" si="2"/>
        <v>0</v>
      </c>
    </row>
    <row r="34" spans="3:13" x14ac:dyDescent="0.25">
      <c r="C34" s="3"/>
      <c r="E34" s="2"/>
      <c r="F34" s="2"/>
      <c r="G34" s="2">
        <f t="shared" si="2"/>
        <v>0</v>
      </c>
    </row>
    <row r="35" spans="3:13" x14ac:dyDescent="0.25">
      <c r="C35" s="3"/>
      <c r="E35" s="2"/>
      <c r="F35" s="2"/>
      <c r="G35" s="2">
        <f t="shared" si="2"/>
        <v>0</v>
      </c>
    </row>
    <row r="37" spans="3:13" x14ac:dyDescent="0.25">
      <c r="D37" s="1" t="s">
        <v>8</v>
      </c>
      <c r="E37" s="2">
        <f>SUM(E4:E35)</f>
        <v>35045203</v>
      </c>
      <c r="F37" s="2">
        <f>SUM(F4:F35)</f>
        <v>2803617</v>
      </c>
      <c r="G37" s="2">
        <f>SUM(G4:G35)</f>
        <v>37848820</v>
      </c>
      <c r="I37" s="1"/>
      <c r="J37" s="1" t="s">
        <v>8</v>
      </c>
      <c r="K37" s="2">
        <f>SUM(K4:K26)</f>
        <v>25817220</v>
      </c>
      <c r="L37" s="2">
        <f>SUM(L4:L26)</f>
        <v>2195091</v>
      </c>
      <c r="M37" s="2">
        <f>SUM(M4:M26)</f>
        <v>28012311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37"/>
  <sheetViews>
    <sheetView workbookViewId="0">
      <selection activeCell="N18" sqref="N18"/>
    </sheetView>
  </sheetViews>
  <sheetFormatPr defaultRowHeight="15" x14ac:dyDescent="0.25"/>
  <cols>
    <col min="2" max="2" width="16.85546875" customWidth="1"/>
    <col min="3" max="3" width="10" style="1" customWidth="1"/>
    <col min="4" max="4" width="34.140625" style="1" customWidth="1"/>
    <col min="5" max="5" width="12.42578125" style="1" customWidth="1"/>
    <col min="6" max="6" width="10.85546875" style="1" customWidth="1"/>
    <col min="7" max="7" width="11.5703125" style="1" customWidth="1"/>
    <col min="8" max="8" width="22.5703125" customWidth="1"/>
    <col min="10" max="10" width="22.85546875" customWidth="1"/>
    <col min="11" max="11" width="13.140625" customWidth="1"/>
    <col min="12" max="12" width="10.7109375" customWidth="1"/>
    <col min="13" max="13" width="12.7109375" customWidth="1"/>
  </cols>
  <sheetData>
    <row r="3" spans="2:13" x14ac:dyDescent="0.25">
      <c r="B3" s="1" t="s">
        <v>9</v>
      </c>
      <c r="C3" s="1" t="s">
        <v>0</v>
      </c>
      <c r="D3" s="1" t="s">
        <v>10</v>
      </c>
      <c r="E3" s="1" t="s">
        <v>2</v>
      </c>
      <c r="F3" s="1" t="s">
        <v>16</v>
      </c>
      <c r="G3" s="1" t="s">
        <v>17</v>
      </c>
      <c r="H3" s="1" t="s">
        <v>11</v>
      </c>
      <c r="I3" s="1" t="s">
        <v>0</v>
      </c>
      <c r="J3" s="1" t="s">
        <v>12</v>
      </c>
      <c r="K3" s="1" t="s">
        <v>1</v>
      </c>
      <c r="L3" s="1" t="s">
        <v>16</v>
      </c>
      <c r="M3" s="1" t="s">
        <v>18</v>
      </c>
    </row>
    <row r="4" spans="2:13" x14ac:dyDescent="0.25">
      <c r="C4" s="3">
        <v>45778</v>
      </c>
      <c r="D4" s="1" t="s">
        <v>213</v>
      </c>
      <c r="E4" s="2">
        <v>9113700</v>
      </c>
      <c r="F4" s="2">
        <v>729096</v>
      </c>
      <c r="G4" s="2">
        <f>SUM(E4:F4)</f>
        <v>9842796</v>
      </c>
      <c r="H4" s="1"/>
      <c r="I4" s="3">
        <v>45778</v>
      </c>
      <c r="J4" s="1" t="s">
        <v>224</v>
      </c>
      <c r="K4" s="2">
        <v>381819</v>
      </c>
      <c r="L4" s="2">
        <v>38181</v>
      </c>
      <c r="M4" s="2">
        <f>SUM(K4:L4)</f>
        <v>420000</v>
      </c>
    </row>
    <row r="5" spans="2:13" x14ac:dyDescent="0.25">
      <c r="C5" s="3">
        <v>45778</v>
      </c>
      <c r="D5" s="1" t="s">
        <v>214</v>
      </c>
      <c r="E5" s="2">
        <v>4629630</v>
      </c>
      <c r="F5" s="2">
        <v>370370</v>
      </c>
      <c r="G5" s="2">
        <f t="shared" ref="G5:G35" si="0">SUM(E5:F5)</f>
        <v>5000000</v>
      </c>
      <c r="I5" s="3">
        <v>45779</v>
      </c>
      <c r="J5" s="1" t="s">
        <v>55</v>
      </c>
      <c r="K5" s="2">
        <v>11068016</v>
      </c>
      <c r="L5" s="2">
        <v>885441</v>
      </c>
      <c r="M5" s="2">
        <f t="shared" ref="M5:M12" si="1">SUM(K5:L5)</f>
        <v>11953457</v>
      </c>
    </row>
    <row r="6" spans="2:13" x14ac:dyDescent="0.25">
      <c r="C6" s="3">
        <v>45778</v>
      </c>
      <c r="D6" s="1" t="s">
        <v>215</v>
      </c>
      <c r="E6" s="2">
        <v>555556</v>
      </c>
      <c r="F6" s="2">
        <v>44444</v>
      </c>
      <c r="G6" s="2">
        <f t="shared" si="0"/>
        <v>600000</v>
      </c>
      <c r="I6" s="3">
        <v>45781</v>
      </c>
      <c r="J6" s="1" t="s">
        <v>131</v>
      </c>
      <c r="K6" s="2">
        <v>22710</v>
      </c>
      <c r="L6" s="2">
        <v>2271</v>
      </c>
      <c r="M6" s="2">
        <f t="shared" si="1"/>
        <v>24981</v>
      </c>
    </row>
    <row r="7" spans="2:13" x14ac:dyDescent="0.25">
      <c r="C7" s="3">
        <v>45781</v>
      </c>
      <c r="D7" s="1" t="s">
        <v>216</v>
      </c>
      <c r="E7" s="2">
        <v>370370</v>
      </c>
      <c r="F7" s="2">
        <v>29630</v>
      </c>
      <c r="G7" s="2">
        <f t="shared" si="0"/>
        <v>400000</v>
      </c>
      <c r="I7" s="3">
        <v>45786</v>
      </c>
      <c r="J7" s="1" t="s">
        <v>79</v>
      </c>
      <c r="K7" s="2">
        <v>2042836</v>
      </c>
      <c r="L7" s="2">
        <v>111236</v>
      </c>
      <c r="M7" s="2">
        <f t="shared" si="1"/>
        <v>2154072</v>
      </c>
    </row>
    <row r="8" spans="2:13" x14ac:dyDescent="0.25">
      <c r="C8" s="3">
        <v>45781</v>
      </c>
      <c r="D8" s="1" t="s">
        <v>217</v>
      </c>
      <c r="E8" s="2">
        <v>1296296</v>
      </c>
      <c r="F8" s="2">
        <v>103704</v>
      </c>
      <c r="G8" s="2">
        <f t="shared" si="0"/>
        <v>1400000</v>
      </c>
      <c r="I8" s="3">
        <v>45804</v>
      </c>
      <c r="J8" s="1" t="s">
        <v>230</v>
      </c>
      <c r="K8" s="2">
        <v>1975000</v>
      </c>
      <c r="L8" s="2">
        <v>197500</v>
      </c>
      <c r="M8" s="2">
        <f t="shared" si="1"/>
        <v>2172500</v>
      </c>
    </row>
    <row r="9" spans="2:13" x14ac:dyDescent="0.25">
      <c r="C9" s="3">
        <v>45781</v>
      </c>
      <c r="D9" s="1" t="s">
        <v>218</v>
      </c>
      <c r="E9" s="2">
        <v>1388889</v>
      </c>
      <c r="F9" s="2">
        <v>111111</v>
      </c>
      <c r="G9" s="2">
        <f t="shared" si="0"/>
        <v>1500000</v>
      </c>
      <c r="I9" s="3">
        <v>45799</v>
      </c>
      <c r="J9" s="1" t="s">
        <v>81</v>
      </c>
      <c r="K9" s="2">
        <v>916667</v>
      </c>
      <c r="L9" s="2">
        <v>73333</v>
      </c>
      <c r="M9" s="2">
        <f t="shared" si="1"/>
        <v>990000</v>
      </c>
    </row>
    <row r="10" spans="2:13" x14ac:dyDescent="0.25">
      <c r="C10" s="3">
        <v>45781</v>
      </c>
      <c r="D10" s="1" t="s">
        <v>219</v>
      </c>
      <c r="E10" s="2">
        <v>370370</v>
      </c>
      <c r="F10" s="2">
        <v>29630</v>
      </c>
      <c r="G10" s="2">
        <f t="shared" si="0"/>
        <v>400000</v>
      </c>
      <c r="I10" s="3">
        <v>45807</v>
      </c>
      <c r="J10" s="1" t="s">
        <v>188</v>
      </c>
      <c r="K10" s="2">
        <v>475801</v>
      </c>
      <c r="L10" s="2">
        <v>47580</v>
      </c>
      <c r="M10" s="2">
        <f t="shared" si="1"/>
        <v>523381</v>
      </c>
    </row>
    <row r="11" spans="2:13" x14ac:dyDescent="0.25">
      <c r="C11" s="3">
        <v>45781</v>
      </c>
      <c r="D11" s="1" t="s">
        <v>220</v>
      </c>
      <c r="E11" s="2">
        <v>370370</v>
      </c>
      <c r="F11" s="2">
        <v>29630</v>
      </c>
      <c r="G11" s="2">
        <f t="shared" si="0"/>
        <v>400000</v>
      </c>
      <c r="I11" s="3">
        <v>45785</v>
      </c>
      <c r="J11" s="1" t="s">
        <v>61</v>
      </c>
      <c r="K11" s="2">
        <v>240909</v>
      </c>
      <c r="L11" s="2">
        <v>19273</v>
      </c>
      <c r="M11" s="2">
        <f t="shared" si="1"/>
        <v>260182</v>
      </c>
    </row>
    <row r="12" spans="2:13" x14ac:dyDescent="0.25">
      <c r="C12" s="3">
        <v>45781</v>
      </c>
      <c r="D12" s="1" t="s">
        <v>221</v>
      </c>
      <c r="E12" s="2">
        <v>1111111</v>
      </c>
      <c r="F12" s="2">
        <v>88889</v>
      </c>
      <c r="G12" s="2">
        <f t="shared" si="0"/>
        <v>1200000</v>
      </c>
      <c r="I12" s="3">
        <v>45808</v>
      </c>
      <c r="J12" s="1" t="s">
        <v>50</v>
      </c>
      <c r="K12" s="2">
        <v>510455</v>
      </c>
      <c r="L12" s="2">
        <v>51046</v>
      </c>
      <c r="M12" s="2">
        <f t="shared" si="1"/>
        <v>561501</v>
      </c>
    </row>
    <row r="13" spans="2:13" x14ac:dyDescent="0.25">
      <c r="C13" s="3">
        <v>45781</v>
      </c>
      <c r="D13" s="1" t="s">
        <v>222</v>
      </c>
      <c r="E13" s="2">
        <v>11666667</v>
      </c>
      <c r="F13" s="2">
        <v>933333</v>
      </c>
      <c r="G13" s="2">
        <f t="shared" si="0"/>
        <v>12600000</v>
      </c>
      <c r="I13" s="3"/>
      <c r="J13" s="1"/>
      <c r="K13" s="2"/>
      <c r="L13" s="2"/>
      <c r="M13" s="2"/>
    </row>
    <row r="14" spans="2:13" x14ac:dyDescent="0.25">
      <c r="C14" s="3">
        <v>45781</v>
      </c>
      <c r="D14" s="1" t="s">
        <v>223</v>
      </c>
      <c r="E14" s="2">
        <v>11851851</v>
      </c>
      <c r="F14" s="2">
        <v>948149</v>
      </c>
      <c r="G14" s="2">
        <f t="shared" si="0"/>
        <v>12800000</v>
      </c>
      <c r="I14" s="3"/>
      <c r="J14" s="1"/>
      <c r="K14" s="2"/>
      <c r="L14" s="2"/>
      <c r="M14" s="2"/>
    </row>
    <row r="15" spans="2:13" x14ac:dyDescent="0.25">
      <c r="C15" s="3">
        <v>45783</v>
      </c>
      <c r="D15" s="1" t="s">
        <v>210</v>
      </c>
      <c r="E15" s="2">
        <v>4583333</v>
      </c>
      <c r="F15" s="2">
        <v>366667</v>
      </c>
      <c r="G15" s="2">
        <f t="shared" si="0"/>
        <v>4950000</v>
      </c>
      <c r="I15" s="3"/>
      <c r="J15" s="1"/>
      <c r="K15" s="2"/>
      <c r="L15" s="2"/>
      <c r="M15" s="2"/>
    </row>
    <row r="16" spans="2:13" x14ac:dyDescent="0.25">
      <c r="C16" s="3">
        <v>45788</v>
      </c>
      <c r="D16" s="1" t="s">
        <v>225</v>
      </c>
      <c r="E16" s="2">
        <v>277778</v>
      </c>
      <c r="F16" s="2">
        <v>22222</v>
      </c>
      <c r="G16" s="2">
        <f t="shared" si="0"/>
        <v>300000</v>
      </c>
      <c r="I16" s="1"/>
      <c r="J16" s="1"/>
      <c r="K16" s="1"/>
      <c r="L16" s="1"/>
      <c r="M16" s="2"/>
    </row>
    <row r="17" spans="3:13" x14ac:dyDescent="0.25">
      <c r="C17" s="3">
        <v>45790</v>
      </c>
      <c r="D17" s="1" t="s">
        <v>226</v>
      </c>
      <c r="E17" s="2">
        <v>3333333</v>
      </c>
      <c r="F17" s="2">
        <v>266667</v>
      </c>
      <c r="G17" s="2">
        <f t="shared" si="0"/>
        <v>3600000</v>
      </c>
      <c r="I17" s="1"/>
      <c r="J17" s="1"/>
      <c r="K17" s="1"/>
      <c r="L17" s="1"/>
      <c r="M17" s="2"/>
    </row>
    <row r="18" spans="3:13" x14ac:dyDescent="0.25">
      <c r="C18" s="3">
        <v>45798</v>
      </c>
      <c r="D18" s="1" t="s">
        <v>227</v>
      </c>
      <c r="E18" s="2">
        <v>555556</v>
      </c>
      <c r="F18" s="2">
        <v>44444</v>
      </c>
      <c r="G18" s="2">
        <f t="shared" si="0"/>
        <v>600000</v>
      </c>
      <c r="I18" s="1"/>
      <c r="J18" s="1"/>
      <c r="K18" s="1"/>
      <c r="L18" s="1"/>
      <c r="M18" s="2"/>
    </row>
    <row r="19" spans="3:13" x14ac:dyDescent="0.25">
      <c r="C19" s="3">
        <v>45798</v>
      </c>
      <c r="D19" s="1" t="s">
        <v>228</v>
      </c>
      <c r="E19" s="2">
        <v>2592593</v>
      </c>
      <c r="F19" s="2">
        <v>207407</v>
      </c>
      <c r="G19" s="2">
        <f t="shared" si="0"/>
        <v>2800000</v>
      </c>
      <c r="I19" s="1"/>
      <c r="J19" s="1"/>
      <c r="K19" s="1"/>
      <c r="L19" s="1"/>
      <c r="M19" s="2"/>
    </row>
    <row r="20" spans="3:13" x14ac:dyDescent="0.25">
      <c r="C20" s="3">
        <v>45798</v>
      </c>
      <c r="D20" s="1" t="s">
        <v>229</v>
      </c>
      <c r="E20" s="2">
        <v>5555556</v>
      </c>
      <c r="F20" s="2">
        <v>444444</v>
      </c>
      <c r="G20" s="2">
        <f t="shared" si="0"/>
        <v>6000000</v>
      </c>
      <c r="I20" s="1"/>
      <c r="J20" s="1"/>
      <c r="K20" s="1"/>
      <c r="L20" s="1"/>
      <c r="M20" s="2"/>
    </row>
    <row r="21" spans="3:13" x14ac:dyDescent="0.25">
      <c r="C21" s="3">
        <v>45804</v>
      </c>
      <c r="D21" s="1" t="s">
        <v>231</v>
      </c>
      <c r="E21" s="2">
        <v>277778</v>
      </c>
      <c r="F21" s="2">
        <v>22222</v>
      </c>
      <c r="G21" s="2">
        <f t="shared" si="0"/>
        <v>300000</v>
      </c>
      <c r="I21" s="1"/>
      <c r="J21" s="1"/>
      <c r="K21" s="1"/>
      <c r="L21" s="1"/>
      <c r="M21" s="2"/>
    </row>
    <row r="22" spans="3:13" x14ac:dyDescent="0.25">
      <c r="C22" s="3"/>
      <c r="E22" s="2"/>
      <c r="F22" s="2"/>
      <c r="G22" s="2">
        <f t="shared" si="0"/>
        <v>0</v>
      </c>
      <c r="M22" s="2"/>
    </row>
    <row r="23" spans="3:13" x14ac:dyDescent="0.25">
      <c r="C23" s="3"/>
      <c r="E23" s="2"/>
      <c r="F23" s="2"/>
      <c r="G23" s="2">
        <f t="shared" si="0"/>
        <v>0</v>
      </c>
      <c r="M23" s="2"/>
    </row>
    <row r="24" spans="3:13" x14ac:dyDescent="0.25">
      <c r="C24" s="3"/>
      <c r="E24" s="2"/>
      <c r="F24" s="2"/>
      <c r="G24" s="2">
        <f t="shared" si="0"/>
        <v>0</v>
      </c>
      <c r="M24" s="2"/>
    </row>
    <row r="25" spans="3:13" x14ac:dyDescent="0.25">
      <c r="C25" s="3"/>
      <c r="E25" s="2"/>
      <c r="F25" s="2"/>
      <c r="G25" s="2">
        <f t="shared" si="0"/>
        <v>0</v>
      </c>
      <c r="M25" s="2"/>
    </row>
    <row r="26" spans="3:13" x14ac:dyDescent="0.25">
      <c r="C26" s="3"/>
      <c r="E26" s="2"/>
      <c r="F26" s="2"/>
      <c r="G26" s="2">
        <f t="shared" si="0"/>
        <v>0</v>
      </c>
    </row>
    <row r="27" spans="3:13" x14ac:dyDescent="0.25">
      <c r="C27" s="3"/>
      <c r="E27" s="2"/>
      <c r="F27" s="2"/>
      <c r="G27" s="2">
        <f t="shared" si="0"/>
        <v>0</v>
      </c>
    </row>
    <row r="28" spans="3:13" x14ac:dyDescent="0.25">
      <c r="C28" s="3"/>
      <c r="D28" s="2"/>
      <c r="E28" s="2"/>
      <c r="F28" s="2"/>
      <c r="G28" s="2">
        <f t="shared" si="0"/>
        <v>0</v>
      </c>
    </row>
    <row r="29" spans="3:13" x14ac:dyDescent="0.25">
      <c r="C29" s="3"/>
      <c r="D29" s="2"/>
      <c r="E29" s="2"/>
      <c r="F29" s="2"/>
      <c r="G29" s="2">
        <f t="shared" si="0"/>
        <v>0</v>
      </c>
    </row>
    <row r="30" spans="3:13" x14ac:dyDescent="0.25">
      <c r="C30" s="3"/>
      <c r="E30" s="2"/>
      <c r="F30" s="2"/>
      <c r="G30" s="2">
        <f t="shared" si="0"/>
        <v>0</v>
      </c>
    </row>
    <row r="31" spans="3:13" x14ac:dyDescent="0.25">
      <c r="C31" s="3"/>
      <c r="E31" s="2"/>
      <c r="F31" s="2"/>
      <c r="G31" s="2">
        <f t="shared" si="0"/>
        <v>0</v>
      </c>
      <c r="K31" s="4"/>
      <c r="L31" s="4"/>
      <c r="M31" s="4"/>
    </row>
    <row r="32" spans="3:13" x14ac:dyDescent="0.25">
      <c r="C32" s="3"/>
      <c r="E32" s="2"/>
      <c r="F32" s="2"/>
      <c r="G32" s="2">
        <f t="shared" si="0"/>
        <v>0</v>
      </c>
    </row>
    <row r="33" spans="3:13" x14ac:dyDescent="0.25">
      <c r="C33" s="3"/>
      <c r="E33" s="2"/>
      <c r="F33" s="2"/>
      <c r="G33" s="2">
        <f t="shared" si="0"/>
        <v>0</v>
      </c>
    </row>
    <row r="34" spans="3:13" x14ac:dyDescent="0.25">
      <c r="C34" s="3"/>
      <c r="E34" s="2"/>
      <c r="F34" s="2"/>
      <c r="G34" s="2">
        <f t="shared" si="0"/>
        <v>0</v>
      </c>
    </row>
    <row r="35" spans="3:13" x14ac:dyDescent="0.25">
      <c r="C35" s="3"/>
      <c r="E35" s="2"/>
      <c r="F35" s="2"/>
      <c r="G35" s="2">
        <f t="shared" si="0"/>
        <v>0</v>
      </c>
    </row>
    <row r="37" spans="3:13" x14ac:dyDescent="0.25">
      <c r="D37" s="1" t="s">
        <v>8</v>
      </c>
      <c r="E37" s="2">
        <f>SUM(E4:E35)</f>
        <v>59900737</v>
      </c>
      <c r="F37" s="2">
        <f>SUM(F4:F35)</f>
        <v>4792059</v>
      </c>
      <c r="G37" s="2">
        <f>SUM(G4:G35)</f>
        <v>64692796</v>
      </c>
      <c r="I37" s="1"/>
      <c r="J37" s="1" t="s">
        <v>8</v>
      </c>
      <c r="K37" s="2">
        <f>SUM(K4:K26)</f>
        <v>17634213</v>
      </c>
      <c r="L37" s="2">
        <f>SUM(L4:L26)</f>
        <v>1425861</v>
      </c>
      <c r="M37" s="2">
        <f>SUM(M4:M26)</f>
        <v>19060074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49"/>
  <sheetViews>
    <sheetView topLeftCell="A16" workbookViewId="0">
      <selection activeCell="M24" sqref="M24"/>
    </sheetView>
  </sheetViews>
  <sheetFormatPr defaultRowHeight="15" x14ac:dyDescent="0.25"/>
  <cols>
    <col min="2" max="2" width="16.85546875" customWidth="1"/>
    <col min="3" max="3" width="10" style="1" customWidth="1"/>
    <col min="4" max="4" width="39.5703125" style="1" customWidth="1"/>
    <col min="5" max="5" width="12.42578125" style="1" customWidth="1"/>
    <col min="6" max="6" width="10.85546875" style="1" customWidth="1"/>
    <col min="7" max="7" width="11.5703125" style="1" customWidth="1"/>
    <col min="8" max="8" width="22.5703125" customWidth="1"/>
    <col min="10" max="10" width="22.85546875" customWidth="1"/>
    <col min="11" max="11" width="13.140625" customWidth="1"/>
    <col min="12" max="12" width="10.7109375" customWidth="1"/>
    <col min="13" max="13" width="12.7109375" customWidth="1"/>
  </cols>
  <sheetData>
    <row r="3" spans="2:13" x14ac:dyDescent="0.25">
      <c r="B3" s="1" t="s">
        <v>9</v>
      </c>
      <c r="C3" s="1" t="s">
        <v>0</v>
      </c>
      <c r="D3" s="1" t="s">
        <v>10</v>
      </c>
      <c r="E3" s="1" t="s">
        <v>2</v>
      </c>
      <c r="F3" s="1" t="s">
        <v>16</v>
      </c>
      <c r="G3" s="1" t="s">
        <v>17</v>
      </c>
      <c r="H3" s="1" t="s">
        <v>11</v>
      </c>
      <c r="I3" s="1" t="s">
        <v>0</v>
      </c>
      <c r="J3" s="1" t="s">
        <v>12</v>
      </c>
      <c r="K3" s="1" t="s">
        <v>1</v>
      </c>
      <c r="L3" s="1" t="s">
        <v>16</v>
      </c>
      <c r="M3" s="1" t="s">
        <v>18</v>
      </c>
    </row>
    <row r="4" spans="2:13" x14ac:dyDescent="0.25">
      <c r="C4" s="3">
        <v>45809</v>
      </c>
      <c r="D4" s="1" t="s">
        <v>232</v>
      </c>
      <c r="E4" s="2">
        <v>833333</v>
      </c>
      <c r="F4" s="2">
        <v>66667</v>
      </c>
      <c r="G4" s="2">
        <f>SUM(E4:F4)</f>
        <v>900000</v>
      </c>
      <c r="H4" s="1"/>
      <c r="I4" s="3">
        <v>45811</v>
      </c>
      <c r="J4" s="1" t="s">
        <v>237</v>
      </c>
      <c r="K4" s="2">
        <v>33000000</v>
      </c>
      <c r="L4" s="2">
        <v>2640000</v>
      </c>
      <c r="M4" s="2">
        <f>SUM(K4:L4)</f>
        <v>35640000</v>
      </c>
    </row>
    <row r="5" spans="2:13" x14ac:dyDescent="0.25">
      <c r="C5" s="3">
        <v>45809</v>
      </c>
      <c r="D5" s="1" t="s">
        <v>233</v>
      </c>
      <c r="E5" s="2">
        <v>370370</v>
      </c>
      <c r="F5" s="2">
        <v>29630</v>
      </c>
      <c r="G5" s="2">
        <f t="shared" ref="G5:G48" si="0">SUM(E5:F5)</f>
        <v>400000</v>
      </c>
      <c r="I5" s="3">
        <v>45812</v>
      </c>
      <c r="J5" s="1" t="s">
        <v>106</v>
      </c>
      <c r="K5" s="2">
        <v>20324</v>
      </c>
      <c r="L5" s="2">
        <v>2032</v>
      </c>
      <c r="M5" s="2">
        <f t="shared" ref="M5:M13" si="1">SUM(K5:L5)</f>
        <v>22356</v>
      </c>
    </row>
    <row r="6" spans="2:13" x14ac:dyDescent="0.25">
      <c r="C6" s="3">
        <v>45809</v>
      </c>
      <c r="D6" s="1" t="s">
        <v>234</v>
      </c>
      <c r="E6" s="2">
        <v>370370</v>
      </c>
      <c r="F6" s="2">
        <v>29630</v>
      </c>
      <c r="G6" s="2">
        <f t="shared" si="0"/>
        <v>400000</v>
      </c>
      <c r="I6" s="3">
        <v>45812</v>
      </c>
      <c r="J6" s="1" t="s">
        <v>239</v>
      </c>
      <c r="K6" s="2">
        <v>3500</v>
      </c>
      <c r="L6" s="2">
        <v>350</v>
      </c>
      <c r="M6" s="2">
        <f t="shared" si="1"/>
        <v>3850</v>
      </c>
    </row>
    <row r="7" spans="2:13" x14ac:dyDescent="0.25">
      <c r="C7" s="3">
        <v>45809</v>
      </c>
      <c r="D7" s="1" t="s">
        <v>235</v>
      </c>
      <c r="E7" s="2">
        <v>370370</v>
      </c>
      <c r="F7" s="2">
        <v>29630</v>
      </c>
      <c r="G7" s="2">
        <f t="shared" si="0"/>
        <v>400000</v>
      </c>
      <c r="I7" s="3">
        <v>45813</v>
      </c>
      <c r="J7" s="1" t="s">
        <v>240</v>
      </c>
      <c r="K7" s="2">
        <v>1980000</v>
      </c>
      <c r="L7" s="2">
        <v>198000</v>
      </c>
      <c r="M7" s="2">
        <f t="shared" si="1"/>
        <v>2178000</v>
      </c>
    </row>
    <row r="8" spans="2:13" x14ac:dyDescent="0.25">
      <c r="C8" s="3">
        <v>45809</v>
      </c>
      <c r="D8" s="1" t="s">
        <v>236</v>
      </c>
      <c r="E8" s="2">
        <v>462963</v>
      </c>
      <c r="F8" s="2">
        <v>37037</v>
      </c>
      <c r="G8" s="2">
        <f t="shared" si="0"/>
        <v>500000</v>
      </c>
      <c r="I8" s="3">
        <v>45810</v>
      </c>
      <c r="J8" s="1" t="s">
        <v>55</v>
      </c>
      <c r="K8" s="2">
        <v>13772275</v>
      </c>
      <c r="L8" s="2">
        <v>1101782</v>
      </c>
      <c r="M8" s="2">
        <f t="shared" si="1"/>
        <v>14874057</v>
      </c>
    </row>
    <row r="9" spans="2:13" x14ac:dyDescent="0.25">
      <c r="C9" s="3">
        <v>45809</v>
      </c>
      <c r="D9" s="1" t="s">
        <v>35</v>
      </c>
      <c r="E9" s="2">
        <v>8947200</v>
      </c>
      <c r="F9" s="2">
        <v>715776</v>
      </c>
      <c r="G9" s="2">
        <f t="shared" si="0"/>
        <v>9662976</v>
      </c>
      <c r="I9" s="3">
        <v>45817</v>
      </c>
      <c r="J9" s="1" t="s">
        <v>79</v>
      </c>
      <c r="K9" s="2">
        <v>1527835</v>
      </c>
      <c r="L9" s="2">
        <v>83194</v>
      </c>
      <c r="M9" s="2">
        <f t="shared" si="1"/>
        <v>1611029</v>
      </c>
    </row>
    <row r="10" spans="2:13" x14ac:dyDescent="0.25">
      <c r="C10" s="3">
        <v>45811</v>
      </c>
      <c r="D10" s="1" t="s">
        <v>238</v>
      </c>
      <c r="E10" s="2">
        <v>4629630</v>
      </c>
      <c r="F10" s="2">
        <v>370370</v>
      </c>
      <c r="G10" s="2">
        <f t="shared" si="0"/>
        <v>5000000</v>
      </c>
      <c r="I10" s="3">
        <v>45821</v>
      </c>
      <c r="J10" s="1" t="s">
        <v>81</v>
      </c>
      <c r="K10" s="2">
        <v>1092593</v>
      </c>
      <c r="L10" s="2">
        <v>87407</v>
      </c>
      <c r="M10" s="2">
        <f t="shared" si="1"/>
        <v>1180000</v>
      </c>
    </row>
    <row r="11" spans="2:13" x14ac:dyDescent="0.25">
      <c r="C11" s="3">
        <v>45815</v>
      </c>
      <c r="D11" s="1" t="s">
        <v>241</v>
      </c>
      <c r="E11" s="2">
        <v>648148</v>
      </c>
      <c r="F11" s="2">
        <v>51852</v>
      </c>
      <c r="G11" s="2">
        <f t="shared" si="0"/>
        <v>700000</v>
      </c>
      <c r="I11" s="3">
        <v>45819</v>
      </c>
      <c r="J11" s="1" t="s">
        <v>61</v>
      </c>
      <c r="K11" s="2">
        <v>240909</v>
      </c>
      <c r="L11" s="2">
        <v>19273</v>
      </c>
      <c r="M11" s="2">
        <f t="shared" si="1"/>
        <v>260182</v>
      </c>
    </row>
    <row r="12" spans="2:13" x14ac:dyDescent="0.25">
      <c r="C12" s="3">
        <v>45816</v>
      </c>
      <c r="D12" s="1" t="s">
        <v>242</v>
      </c>
      <c r="E12" s="2">
        <v>416667</v>
      </c>
      <c r="F12" s="2">
        <v>33333</v>
      </c>
      <c r="G12" s="2">
        <f t="shared" si="0"/>
        <v>450000</v>
      </c>
      <c r="I12" s="3">
        <v>45838</v>
      </c>
      <c r="J12" s="1" t="s">
        <v>188</v>
      </c>
      <c r="K12" s="2">
        <v>39795</v>
      </c>
      <c r="L12" s="2">
        <v>3980</v>
      </c>
      <c r="M12" s="2">
        <f t="shared" si="1"/>
        <v>43775</v>
      </c>
    </row>
    <row r="13" spans="2:13" x14ac:dyDescent="0.25">
      <c r="C13" s="3">
        <v>45816</v>
      </c>
      <c r="D13" s="1" t="s">
        <v>243</v>
      </c>
      <c r="E13" s="2">
        <v>370370</v>
      </c>
      <c r="F13" s="2">
        <v>29630</v>
      </c>
      <c r="G13" s="2">
        <f t="shared" si="0"/>
        <v>400000</v>
      </c>
      <c r="I13" s="3">
        <v>45838</v>
      </c>
      <c r="J13" s="1" t="s">
        <v>50</v>
      </c>
      <c r="K13" s="2">
        <v>510455</v>
      </c>
      <c r="L13" s="2">
        <v>51046</v>
      </c>
      <c r="M13" s="2">
        <f t="shared" si="1"/>
        <v>561501</v>
      </c>
    </row>
    <row r="14" spans="2:13" x14ac:dyDescent="0.25">
      <c r="C14" s="3">
        <v>45816</v>
      </c>
      <c r="D14" s="1" t="s">
        <v>244</v>
      </c>
      <c r="E14" s="2">
        <v>462963</v>
      </c>
      <c r="F14" s="2">
        <v>37037</v>
      </c>
      <c r="G14" s="2">
        <f t="shared" si="0"/>
        <v>500000</v>
      </c>
      <c r="I14" s="3"/>
      <c r="J14" s="1"/>
      <c r="K14" s="2"/>
      <c r="L14" s="2"/>
      <c r="M14" s="2"/>
    </row>
    <row r="15" spans="2:13" x14ac:dyDescent="0.25">
      <c r="C15" s="3">
        <v>45816</v>
      </c>
      <c r="D15" s="1" t="s">
        <v>245</v>
      </c>
      <c r="E15" s="2">
        <v>370370</v>
      </c>
      <c r="F15" s="2">
        <v>29630</v>
      </c>
      <c r="G15" s="2">
        <f t="shared" si="0"/>
        <v>400000</v>
      </c>
      <c r="I15" s="3"/>
      <c r="J15" s="1"/>
      <c r="K15" s="2"/>
      <c r="L15" s="2"/>
      <c r="M15" s="2"/>
    </row>
    <row r="16" spans="2:13" x14ac:dyDescent="0.25">
      <c r="C16" s="3">
        <v>45816</v>
      </c>
      <c r="D16" s="1" t="s">
        <v>246</v>
      </c>
      <c r="E16" s="2">
        <v>370370</v>
      </c>
      <c r="F16" s="2">
        <v>29630</v>
      </c>
      <c r="G16" s="2">
        <f t="shared" si="0"/>
        <v>400000</v>
      </c>
      <c r="I16" s="1"/>
      <c r="J16" s="1"/>
      <c r="K16" s="1"/>
      <c r="L16" s="1"/>
      <c r="M16" s="2"/>
    </row>
    <row r="17" spans="3:13" x14ac:dyDescent="0.25">
      <c r="C17" s="3">
        <v>45816</v>
      </c>
      <c r="D17" s="1" t="s">
        <v>247</v>
      </c>
      <c r="E17" s="2">
        <v>1851852</v>
      </c>
      <c r="F17" s="2">
        <v>148148</v>
      </c>
      <c r="G17" s="2">
        <f t="shared" si="0"/>
        <v>2000000</v>
      </c>
      <c r="I17" s="1"/>
      <c r="J17" s="1"/>
      <c r="K17" s="1"/>
      <c r="L17" s="1"/>
      <c r="M17" s="2"/>
    </row>
    <row r="18" spans="3:13" x14ac:dyDescent="0.25">
      <c r="C18" s="3">
        <v>45817</v>
      </c>
      <c r="D18" s="1" t="s">
        <v>248</v>
      </c>
      <c r="E18" s="2">
        <v>1388889</v>
      </c>
      <c r="F18" s="2">
        <v>111111</v>
      </c>
      <c r="G18" s="2">
        <f t="shared" si="0"/>
        <v>1500000</v>
      </c>
      <c r="I18" s="1"/>
      <c r="J18" s="1"/>
      <c r="K18" s="1"/>
      <c r="L18" s="1"/>
      <c r="M18" s="2"/>
    </row>
    <row r="19" spans="3:13" x14ac:dyDescent="0.25">
      <c r="C19" s="3">
        <v>45817</v>
      </c>
      <c r="D19" s="1" t="s">
        <v>249</v>
      </c>
      <c r="E19" s="2">
        <v>740741</v>
      </c>
      <c r="F19" s="2">
        <v>59259</v>
      </c>
      <c r="G19" s="2">
        <f t="shared" si="0"/>
        <v>800000</v>
      </c>
      <c r="I19" s="1"/>
      <c r="J19" s="1"/>
      <c r="K19" s="1"/>
      <c r="L19" s="1"/>
      <c r="M19" s="2"/>
    </row>
    <row r="20" spans="3:13" x14ac:dyDescent="0.25">
      <c r="C20" s="3">
        <v>45823</v>
      </c>
      <c r="D20" s="1" t="s">
        <v>250</v>
      </c>
      <c r="E20" s="2">
        <v>925926</v>
      </c>
      <c r="F20" s="2">
        <v>74074</v>
      </c>
      <c r="G20" s="2">
        <f t="shared" si="0"/>
        <v>1000000</v>
      </c>
      <c r="I20" s="1"/>
      <c r="J20" s="1"/>
      <c r="K20" s="1"/>
      <c r="L20" s="1"/>
      <c r="M20" s="2"/>
    </row>
    <row r="21" spans="3:13" x14ac:dyDescent="0.25">
      <c r="C21" s="3">
        <v>45823</v>
      </c>
      <c r="D21" s="1" t="s">
        <v>251</v>
      </c>
      <c r="E21" s="2">
        <v>462963</v>
      </c>
      <c r="F21" s="2">
        <v>37037</v>
      </c>
      <c r="G21" s="2">
        <f t="shared" si="0"/>
        <v>500000</v>
      </c>
      <c r="I21" s="1"/>
      <c r="J21" s="1"/>
      <c r="K21" s="1"/>
      <c r="L21" s="1"/>
      <c r="M21" s="2"/>
    </row>
    <row r="22" spans="3:13" x14ac:dyDescent="0.25">
      <c r="C22" s="3">
        <v>45823</v>
      </c>
      <c r="D22" s="1" t="s">
        <v>252</v>
      </c>
      <c r="E22" s="2">
        <v>740740</v>
      </c>
      <c r="F22" s="2">
        <v>59260</v>
      </c>
      <c r="G22" s="2">
        <f t="shared" si="0"/>
        <v>800000</v>
      </c>
      <c r="M22" s="2"/>
    </row>
    <row r="23" spans="3:13" x14ac:dyDescent="0.25">
      <c r="C23" s="3">
        <v>45823</v>
      </c>
      <c r="D23" s="1" t="s">
        <v>253</v>
      </c>
      <c r="E23" s="2">
        <v>3611110</v>
      </c>
      <c r="F23" s="2">
        <v>288890</v>
      </c>
      <c r="G23" s="2">
        <f t="shared" si="0"/>
        <v>3900000</v>
      </c>
      <c r="M23" s="2"/>
    </row>
    <row r="24" spans="3:13" x14ac:dyDescent="0.25">
      <c r="C24" s="3">
        <v>45823</v>
      </c>
      <c r="D24" s="1" t="s">
        <v>254</v>
      </c>
      <c r="E24" s="2">
        <v>3148148</v>
      </c>
      <c r="F24" s="2">
        <v>251852</v>
      </c>
      <c r="G24" s="2">
        <f t="shared" si="0"/>
        <v>3400000</v>
      </c>
      <c r="M24" s="2"/>
    </row>
    <row r="25" spans="3:13" x14ac:dyDescent="0.25">
      <c r="C25" s="3">
        <v>45825</v>
      </c>
      <c r="D25" s="1" t="s">
        <v>255</v>
      </c>
      <c r="E25" s="2">
        <v>9259260</v>
      </c>
      <c r="F25" s="2">
        <v>740742</v>
      </c>
      <c r="G25" s="2">
        <f t="shared" si="0"/>
        <v>10000002</v>
      </c>
      <c r="M25" s="2"/>
    </row>
    <row r="26" spans="3:13" x14ac:dyDescent="0.25">
      <c r="C26" s="3">
        <v>45825</v>
      </c>
      <c r="D26" s="1" t="s">
        <v>256</v>
      </c>
      <c r="E26" s="2">
        <v>740741</v>
      </c>
      <c r="F26" s="2">
        <v>59259</v>
      </c>
      <c r="G26" s="2">
        <f t="shared" si="0"/>
        <v>800000</v>
      </c>
    </row>
    <row r="27" spans="3:13" x14ac:dyDescent="0.25">
      <c r="C27" s="3">
        <v>45825</v>
      </c>
      <c r="D27" s="1" t="s">
        <v>257</v>
      </c>
      <c r="E27" s="2">
        <v>1388889</v>
      </c>
      <c r="F27" s="2">
        <v>111111</v>
      </c>
      <c r="G27" s="2">
        <f t="shared" si="0"/>
        <v>1500000</v>
      </c>
    </row>
    <row r="28" spans="3:13" x14ac:dyDescent="0.25">
      <c r="C28" s="3">
        <v>45826</v>
      </c>
      <c r="D28" s="2" t="s">
        <v>258</v>
      </c>
      <c r="E28" s="2">
        <v>2592593</v>
      </c>
      <c r="F28" s="2">
        <v>207407</v>
      </c>
      <c r="G28" s="2">
        <f t="shared" si="0"/>
        <v>2800000</v>
      </c>
    </row>
    <row r="29" spans="3:13" x14ac:dyDescent="0.25">
      <c r="C29" s="3">
        <v>45828</v>
      </c>
      <c r="D29" s="2" t="s">
        <v>259</v>
      </c>
      <c r="E29" s="2">
        <v>925926</v>
      </c>
      <c r="F29" s="2">
        <v>74074</v>
      </c>
      <c r="G29" s="2">
        <f t="shared" si="0"/>
        <v>1000000</v>
      </c>
    </row>
    <row r="30" spans="3:13" x14ac:dyDescent="0.25">
      <c r="C30" s="3">
        <v>45830</v>
      </c>
      <c r="D30" s="2" t="s">
        <v>260</v>
      </c>
      <c r="E30" s="2">
        <v>4166667</v>
      </c>
      <c r="F30" s="2">
        <v>333333</v>
      </c>
      <c r="G30" s="2">
        <f t="shared" si="0"/>
        <v>4500000</v>
      </c>
    </row>
    <row r="31" spans="3:13" x14ac:dyDescent="0.25">
      <c r="C31" s="3">
        <v>45830</v>
      </c>
      <c r="D31" s="2" t="s">
        <v>261</v>
      </c>
      <c r="E31" s="2">
        <v>925926</v>
      </c>
      <c r="F31" s="2">
        <v>74074</v>
      </c>
      <c r="G31" s="2">
        <f t="shared" si="0"/>
        <v>1000000</v>
      </c>
    </row>
    <row r="32" spans="3:13" x14ac:dyDescent="0.25">
      <c r="C32" s="3">
        <v>45830</v>
      </c>
      <c r="D32" s="2" t="s">
        <v>262</v>
      </c>
      <c r="E32" s="2">
        <v>1388888</v>
      </c>
      <c r="F32" s="2">
        <v>111112</v>
      </c>
      <c r="G32" s="2">
        <f t="shared" si="0"/>
        <v>1500000</v>
      </c>
    </row>
    <row r="33" spans="3:13" x14ac:dyDescent="0.25">
      <c r="C33" s="3">
        <v>45830</v>
      </c>
      <c r="D33" s="2" t="s">
        <v>263</v>
      </c>
      <c r="E33" s="2">
        <v>462963</v>
      </c>
      <c r="F33" s="2">
        <v>37037</v>
      </c>
      <c r="G33" s="2">
        <f t="shared" si="0"/>
        <v>500000</v>
      </c>
    </row>
    <row r="34" spans="3:13" x14ac:dyDescent="0.25">
      <c r="C34" s="3">
        <v>45830</v>
      </c>
      <c r="D34" s="2" t="s">
        <v>264</v>
      </c>
      <c r="E34" s="2">
        <v>1388889</v>
      </c>
      <c r="F34" s="2">
        <v>111111</v>
      </c>
      <c r="G34" s="2">
        <f t="shared" si="0"/>
        <v>1500000</v>
      </c>
    </row>
    <row r="35" spans="3:13" x14ac:dyDescent="0.25">
      <c r="C35" s="3">
        <v>45830</v>
      </c>
      <c r="D35" s="1" t="s">
        <v>265</v>
      </c>
      <c r="E35" s="2">
        <v>1296296</v>
      </c>
      <c r="F35" s="2">
        <v>103704</v>
      </c>
      <c r="G35" s="2">
        <f t="shared" si="0"/>
        <v>1400000</v>
      </c>
    </row>
    <row r="36" spans="3:13" x14ac:dyDescent="0.25">
      <c r="C36" s="3">
        <v>45830</v>
      </c>
      <c r="D36" s="1" t="s">
        <v>266</v>
      </c>
      <c r="E36" s="2">
        <v>6851850</v>
      </c>
      <c r="F36" s="2">
        <v>548150</v>
      </c>
      <c r="G36" s="2">
        <f t="shared" si="0"/>
        <v>7400000</v>
      </c>
      <c r="K36" s="4"/>
      <c r="L36" s="4"/>
      <c r="M36" s="4"/>
    </row>
    <row r="37" spans="3:13" x14ac:dyDescent="0.25">
      <c r="C37" s="3">
        <v>45833</v>
      </c>
      <c r="D37" s="1" t="s">
        <v>267</v>
      </c>
      <c r="E37" s="2">
        <v>4166667</v>
      </c>
      <c r="F37" s="2">
        <v>333333</v>
      </c>
      <c r="G37" s="2">
        <f t="shared" si="0"/>
        <v>4500000</v>
      </c>
    </row>
    <row r="38" spans="3:13" x14ac:dyDescent="0.25">
      <c r="C38" s="3">
        <v>45837</v>
      </c>
      <c r="D38" s="1" t="s">
        <v>274</v>
      </c>
      <c r="E38" s="2">
        <v>833333</v>
      </c>
      <c r="F38" s="2">
        <v>66667</v>
      </c>
      <c r="G38" s="2">
        <f t="shared" si="0"/>
        <v>900000</v>
      </c>
    </row>
    <row r="39" spans="3:13" x14ac:dyDescent="0.25">
      <c r="C39" s="3">
        <v>45837</v>
      </c>
      <c r="D39" s="1" t="s">
        <v>275</v>
      </c>
      <c r="E39" s="2">
        <v>1296296</v>
      </c>
      <c r="F39" s="2">
        <v>103704</v>
      </c>
      <c r="G39" s="2">
        <f t="shared" si="0"/>
        <v>1400000</v>
      </c>
    </row>
    <row r="40" spans="3:13" x14ac:dyDescent="0.25">
      <c r="C40" s="3">
        <v>45837</v>
      </c>
      <c r="D40" s="1" t="s">
        <v>276</v>
      </c>
      <c r="E40" s="2">
        <v>462963</v>
      </c>
      <c r="F40" s="2">
        <v>37037</v>
      </c>
      <c r="G40" s="2">
        <f t="shared" si="0"/>
        <v>500000</v>
      </c>
    </row>
    <row r="41" spans="3:13" x14ac:dyDescent="0.25">
      <c r="C41" s="3">
        <v>45837</v>
      </c>
      <c r="D41" s="1" t="s">
        <v>277</v>
      </c>
      <c r="E41" s="2">
        <v>1018518</v>
      </c>
      <c r="F41" s="2">
        <v>81482</v>
      </c>
      <c r="G41" s="2">
        <f t="shared" si="0"/>
        <v>1100000</v>
      </c>
    </row>
    <row r="42" spans="3:13" x14ac:dyDescent="0.25">
      <c r="C42" s="3">
        <v>45837</v>
      </c>
      <c r="D42" s="1" t="s">
        <v>278</v>
      </c>
      <c r="E42" s="2">
        <v>462963</v>
      </c>
      <c r="F42" s="2">
        <v>37037</v>
      </c>
      <c r="G42" s="2">
        <f t="shared" si="0"/>
        <v>500000</v>
      </c>
    </row>
    <row r="43" spans="3:13" x14ac:dyDescent="0.25">
      <c r="C43" s="3">
        <v>45837</v>
      </c>
      <c r="D43" s="1" t="s">
        <v>279</v>
      </c>
      <c r="E43" s="2">
        <v>462963</v>
      </c>
      <c r="F43" s="2">
        <v>37037</v>
      </c>
      <c r="G43" s="2">
        <f t="shared" si="0"/>
        <v>500000</v>
      </c>
    </row>
    <row r="44" spans="3:13" x14ac:dyDescent="0.25">
      <c r="C44" s="3">
        <v>45837</v>
      </c>
      <c r="D44" s="1" t="s">
        <v>280</v>
      </c>
      <c r="E44" s="2">
        <v>462963</v>
      </c>
      <c r="F44" s="2">
        <v>37037</v>
      </c>
      <c r="G44" s="2">
        <f t="shared" si="0"/>
        <v>500000</v>
      </c>
    </row>
    <row r="45" spans="3:13" x14ac:dyDescent="0.25">
      <c r="C45" s="3">
        <v>45837</v>
      </c>
      <c r="D45" s="1" t="s">
        <v>281</v>
      </c>
      <c r="E45" s="2">
        <v>648148</v>
      </c>
      <c r="F45" s="2">
        <v>51852</v>
      </c>
      <c r="G45" s="2">
        <f t="shared" si="0"/>
        <v>700000</v>
      </c>
    </row>
    <row r="46" spans="3:13" x14ac:dyDescent="0.25">
      <c r="C46" s="3">
        <v>45837</v>
      </c>
      <c r="D46" s="1" t="s">
        <v>282</v>
      </c>
      <c r="E46" s="2">
        <v>925926</v>
      </c>
      <c r="F46" s="2">
        <v>74074</v>
      </c>
      <c r="G46" s="2">
        <f t="shared" si="0"/>
        <v>1000000</v>
      </c>
    </row>
    <row r="47" spans="3:13" x14ac:dyDescent="0.25">
      <c r="C47" s="3">
        <v>45837</v>
      </c>
      <c r="D47" s="1" t="s">
        <v>283</v>
      </c>
      <c r="E47" s="2">
        <v>370370</v>
      </c>
      <c r="F47" s="2">
        <v>29630</v>
      </c>
      <c r="G47" s="2">
        <f t="shared" si="0"/>
        <v>400000</v>
      </c>
    </row>
    <row r="48" spans="3:13" x14ac:dyDescent="0.25">
      <c r="C48" s="3"/>
      <c r="E48" s="2"/>
      <c r="F48" s="2"/>
      <c r="G48" s="2">
        <f t="shared" si="0"/>
        <v>0</v>
      </c>
    </row>
    <row r="49" spans="4:13" x14ac:dyDescent="0.25">
      <c r="D49" s="1" t="s">
        <v>8</v>
      </c>
      <c r="E49" s="2">
        <f>SUM(E4:E47)</f>
        <v>73993491</v>
      </c>
      <c r="F49" s="2">
        <f>SUM(F4:F47)</f>
        <v>5919487</v>
      </c>
      <c r="G49" s="2">
        <f>SUM(G4:G47)</f>
        <v>79912978</v>
      </c>
      <c r="I49" s="1"/>
      <c r="J49" s="1" t="s">
        <v>8</v>
      </c>
      <c r="K49" s="2">
        <f>SUM(K4:K26)</f>
        <v>52187686</v>
      </c>
      <c r="L49" s="2">
        <f>SUM(L4:L26)</f>
        <v>4187064</v>
      </c>
      <c r="M49" s="2">
        <f>SUM(M4:M26)</f>
        <v>56374750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50"/>
  <sheetViews>
    <sheetView topLeftCell="A19" workbookViewId="0">
      <selection activeCell="I21" sqref="I21"/>
    </sheetView>
  </sheetViews>
  <sheetFormatPr defaultRowHeight="15" x14ac:dyDescent="0.25"/>
  <cols>
    <col min="2" max="2" width="16.85546875" customWidth="1"/>
    <col min="3" max="3" width="10" style="1" customWidth="1"/>
    <col min="4" max="4" width="39.5703125" style="1" customWidth="1"/>
    <col min="5" max="5" width="12.42578125" style="1" customWidth="1"/>
    <col min="6" max="6" width="10.85546875" style="1" customWidth="1"/>
    <col min="7" max="7" width="11.5703125" style="1" customWidth="1"/>
    <col min="8" max="8" width="22.5703125" customWidth="1"/>
    <col min="10" max="10" width="22.85546875" customWidth="1"/>
    <col min="11" max="11" width="13.140625" customWidth="1"/>
    <col min="12" max="12" width="10.7109375" customWidth="1"/>
    <col min="13" max="13" width="12.7109375" customWidth="1"/>
  </cols>
  <sheetData>
    <row r="3" spans="2:13" x14ac:dyDescent="0.25">
      <c r="B3" s="1" t="s">
        <v>9</v>
      </c>
      <c r="C3" s="1" t="s">
        <v>0</v>
      </c>
      <c r="D3" s="1" t="s">
        <v>10</v>
      </c>
      <c r="E3" s="1" t="s">
        <v>2</v>
      </c>
      <c r="F3" s="1" t="s">
        <v>16</v>
      </c>
      <c r="G3" s="1" t="s">
        <v>17</v>
      </c>
      <c r="H3" s="1" t="s">
        <v>11</v>
      </c>
      <c r="I3" s="1" t="s">
        <v>0</v>
      </c>
      <c r="J3" s="1" t="s">
        <v>12</v>
      </c>
      <c r="K3" s="1" t="s">
        <v>1</v>
      </c>
      <c r="L3" s="1" t="s">
        <v>16</v>
      </c>
      <c r="M3" s="1" t="s">
        <v>18</v>
      </c>
    </row>
    <row r="4" spans="2:13" x14ac:dyDescent="0.25">
      <c r="C4" s="3">
        <v>45839</v>
      </c>
      <c r="D4" s="1" t="s">
        <v>268</v>
      </c>
      <c r="E4" s="2">
        <v>925926</v>
      </c>
      <c r="F4" s="2">
        <v>74074</v>
      </c>
      <c r="G4" s="2">
        <f>SUM(E4:F4)</f>
        <v>1000000</v>
      </c>
      <c r="H4" s="1"/>
      <c r="I4" s="3">
        <v>45840</v>
      </c>
      <c r="J4" s="1" t="s">
        <v>55</v>
      </c>
      <c r="K4" s="2">
        <v>20800242</v>
      </c>
      <c r="L4" s="2">
        <v>1664019</v>
      </c>
      <c r="M4" s="2">
        <f>SUM(K4:L4)</f>
        <v>22464261</v>
      </c>
    </row>
    <row r="5" spans="2:13" x14ac:dyDescent="0.25">
      <c r="C5" s="3">
        <v>45839</v>
      </c>
      <c r="D5" s="1" t="s">
        <v>269</v>
      </c>
      <c r="E5" s="2">
        <v>2500000</v>
      </c>
      <c r="F5" s="2">
        <v>200000</v>
      </c>
      <c r="G5" s="2">
        <f t="shared" ref="G5:G49" si="0">SUM(E5:F5)</f>
        <v>2700000</v>
      </c>
      <c r="I5" s="3">
        <v>45843</v>
      </c>
      <c r="J5" s="1" t="s">
        <v>160</v>
      </c>
      <c r="K5" s="2">
        <v>28557</v>
      </c>
      <c r="L5" s="2">
        <v>2856</v>
      </c>
      <c r="M5" s="2">
        <f t="shared" ref="M5:M15" si="1">SUM(K5:L5)</f>
        <v>31413</v>
      </c>
    </row>
    <row r="6" spans="2:13" x14ac:dyDescent="0.25">
      <c r="C6" s="3">
        <v>45839</v>
      </c>
      <c r="D6" s="1" t="s">
        <v>270</v>
      </c>
      <c r="E6" s="2">
        <v>1944444</v>
      </c>
      <c r="F6" s="2">
        <v>155556</v>
      </c>
      <c r="G6" s="2">
        <f t="shared" si="0"/>
        <v>2100000</v>
      </c>
      <c r="I6" s="3">
        <v>45852</v>
      </c>
      <c r="J6" s="1" t="s">
        <v>230</v>
      </c>
      <c r="K6" s="2">
        <v>1645000</v>
      </c>
      <c r="L6" s="2">
        <v>131600</v>
      </c>
      <c r="M6" s="2">
        <f t="shared" si="1"/>
        <v>1776600</v>
      </c>
    </row>
    <row r="7" spans="2:13" x14ac:dyDescent="0.25">
      <c r="C7" s="3">
        <v>45839</v>
      </c>
      <c r="D7" s="1" t="s">
        <v>271</v>
      </c>
      <c r="E7" s="2">
        <v>370370</v>
      </c>
      <c r="F7" s="2">
        <v>29630</v>
      </c>
      <c r="G7" s="2">
        <f t="shared" si="0"/>
        <v>400000</v>
      </c>
      <c r="I7" s="3">
        <v>45849</v>
      </c>
      <c r="J7" s="1" t="s">
        <v>61</v>
      </c>
      <c r="K7" s="2">
        <v>240909</v>
      </c>
      <c r="L7" s="2">
        <v>19273</v>
      </c>
      <c r="M7" s="2">
        <f t="shared" si="1"/>
        <v>260182</v>
      </c>
    </row>
    <row r="8" spans="2:13" x14ac:dyDescent="0.25">
      <c r="C8" s="3">
        <v>45839</v>
      </c>
      <c r="D8" s="1" t="s">
        <v>272</v>
      </c>
      <c r="E8" s="2">
        <v>833333</v>
      </c>
      <c r="F8" s="2">
        <v>66667</v>
      </c>
      <c r="G8" s="2">
        <f t="shared" si="0"/>
        <v>900000</v>
      </c>
      <c r="I8" s="3">
        <v>45859</v>
      </c>
      <c r="J8" s="1" t="s">
        <v>311</v>
      </c>
      <c r="K8" s="2">
        <v>822222</v>
      </c>
      <c r="L8" s="2">
        <v>65778</v>
      </c>
      <c r="M8" s="2">
        <f t="shared" si="1"/>
        <v>888000</v>
      </c>
    </row>
    <row r="9" spans="2:13" x14ac:dyDescent="0.25">
      <c r="C9" s="3">
        <v>45839</v>
      </c>
      <c r="D9" s="1" t="s">
        <v>273</v>
      </c>
      <c r="E9" s="2">
        <v>925926</v>
      </c>
      <c r="F9" s="2">
        <v>74074</v>
      </c>
      <c r="G9" s="2">
        <f t="shared" si="0"/>
        <v>1000000</v>
      </c>
      <c r="I9" s="3">
        <v>45849</v>
      </c>
      <c r="J9" s="1" t="s">
        <v>79</v>
      </c>
      <c r="K9" s="2">
        <v>2626503</v>
      </c>
      <c r="L9" s="2">
        <v>143020</v>
      </c>
      <c r="M9" s="2">
        <f t="shared" si="1"/>
        <v>2769523</v>
      </c>
    </row>
    <row r="10" spans="2:13" x14ac:dyDescent="0.25">
      <c r="C10" s="3">
        <v>45839</v>
      </c>
      <c r="D10" s="1" t="s">
        <v>35</v>
      </c>
      <c r="E10" s="2">
        <v>9709400</v>
      </c>
      <c r="F10" s="2">
        <v>776752</v>
      </c>
      <c r="G10" s="2">
        <f t="shared" si="0"/>
        <v>10486152</v>
      </c>
      <c r="I10" s="3">
        <v>45863</v>
      </c>
      <c r="J10" s="1" t="s">
        <v>81</v>
      </c>
      <c r="K10" s="2">
        <v>1833333</v>
      </c>
      <c r="L10" s="2">
        <v>146667</v>
      </c>
      <c r="M10" s="2">
        <f t="shared" si="1"/>
        <v>1980000</v>
      </c>
    </row>
    <row r="11" spans="2:13" x14ac:dyDescent="0.25">
      <c r="C11" s="3">
        <v>45839</v>
      </c>
      <c r="D11" s="1" t="s">
        <v>284</v>
      </c>
      <c r="E11" s="2">
        <v>5555556</v>
      </c>
      <c r="F11" s="2">
        <v>444444</v>
      </c>
      <c r="G11" s="2">
        <f t="shared" si="0"/>
        <v>6000000</v>
      </c>
      <c r="I11" s="3">
        <v>45866</v>
      </c>
      <c r="J11" s="1" t="s">
        <v>103</v>
      </c>
      <c r="K11" s="2">
        <v>916667</v>
      </c>
      <c r="L11" s="2">
        <v>73333</v>
      </c>
      <c r="M11" s="2">
        <f t="shared" si="1"/>
        <v>990000</v>
      </c>
    </row>
    <row r="12" spans="2:13" x14ac:dyDescent="0.25">
      <c r="C12" s="3">
        <v>45840</v>
      </c>
      <c r="D12" s="1" t="s">
        <v>285</v>
      </c>
      <c r="E12" s="2">
        <v>804630</v>
      </c>
      <c r="F12" s="2">
        <v>64370</v>
      </c>
      <c r="G12" s="2">
        <f t="shared" si="0"/>
        <v>869000</v>
      </c>
      <c r="I12" s="3">
        <v>45869</v>
      </c>
      <c r="J12" s="1" t="s">
        <v>188</v>
      </c>
      <c r="K12" s="2">
        <v>394250</v>
      </c>
      <c r="L12" s="2">
        <v>39425</v>
      </c>
      <c r="M12" s="2">
        <f t="shared" si="1"/>
        <v>433675</v>
      </c>
    </row>
    <row r="13" spans="2:13" x14ac:dyDescent="0.25">
      <c r="C13" s="3">
        <v>45842</v>
      </c>
      <c r="D13" s="1" t="s">
        <v>286</v>
      </c>
      <c r="E13" s="2">
        <v>1666666</v>
      </c>
      <c r="F13" s="2">
        <v>133334</v>
      </c>
      <c r="G13" s="2">
        <f t="shared" si="0"/>
        <v>1800000</v>
      </c>
      <c r="I13" s="3">
        <v>45869</v>
      </c>
      <c r="J13" s="1" t="s">
        <v>50</v>
      </c>
      <c r="K13" s="2">
        <v>510455</v>
      </c>
      <c r="L13" s="2">
        <v>51046</v>
      </c>
      <c r="M13" s="2">
        <f t="shared" si="1"/>
        <v>561501</v>
      </c>
    </row>
    <row r="14" spans="2:13" x14ac:dyDescent="0.25">
      <c r="C14" s="3">
        <v>45842</v>
      </c>
      <c r="D14" s="1" t="s">
        <v>287</v>
      </c>
      <c r="E14" s="2">
        <v>1154630</v>
      </c>
      <c r="F14" s="2">
        <v>92370</v>
      </c>
      <c r="G14" s="2">
        <f t="shared" si="0"/>
        <v>1247000</v>
      </c>
      <c r="I14" s="3">
        <v>45845</v>
      </c>
      <c r="J14" s="1" t="s">
        <v>344</v>
      </c>
      <c r="K14" s="2">
        <v>2040000</v>
      </c>
      <c r="L14" s="2">
        <v>192000</v>
      </c>
      <c r="M14" s="2">
        <f t="shared" si="1"/>
        <v>2232000</v>
      </c>
    </row>
    <row r="15" spans="2:13" x14ac:dyDescent="0.25">
      <c r="C15" s="3">
        <v>45844</v>
      </c>
      <c r="D15" s="1" t="s">
        <v>288</v>
      </c>
      <c r="E15" s="2">
        <v>1944444</v>
      </c>
      <c r="F15" s="2">
        <v>155556</v>
      </c>
      <c r="G15" s="2">
        <f t="shared" si="0"/>
        <v>2100000</v>
      </c>
      <c r="I15" s="3">
        <v>45848</v>
      </c>
      <c r="J15" s="1" t="s">
        <v>81</v>
      </c>
      <c r="K15" s="2">
        <v>916667</v>
      </c>
      <c r="L15" s="2">
        <v>73333</v>
      </c>
      <c r="M15" s="2">
        <f t="shared" si="1"/>
        <v>990000</v>
      </c>
    </row>
    <row r="16" spans="2:13" x14ac:dyDescent="0.25">
      <c r="C16" s="3">
        <v>45844</v>
      </c>
      <c r="D16" s="1" t="s">
        <v>289</v>
      </c>
      <c r="E16" s="2">
        <v>1481482</v>
      </c>
      <c r="F16" s="2">
        <v>118518</v>
      </c>
      <c r="G16" s="2">
        <f t="shared" si="0"/>
        <v>1600000</v>
      </c>
      <c r="I16" s="1"/>
      <c r="J16" s="1"/>
      <c r="K16" s="1"/>
      <c r="L16" s="1"/>
      <c r="M16" s="2"/>
    </row>
    <row r="17" spans="3:13" x14ac:dyDescent="0.25">
      <c r="C17" s="3">
        <v>45844</v>
      </c>
      <c r="D17" s="1" t="s">
        <v>290</v>
      </c>
      <c r="E17" s="2">
        <v>12500000</v>
      </c>
      <c r="F17" s="2">
        <v>1000000</v>
      </c>
      <c r="G17" s="2">
        <f t="shared" si="0"/>
        <v>13500000</v>
      </c>
      <c r="I17" s="1"/>
      <c r="J17" s="1"/>
      <c r="K17" s="1"/>
      <c r="L17" s="1"/>
      <c r="M17" s="2"/>
    </row>
    <row r="18" spans="3:13" x14ac:dyDescent="0.25">
      <c r="C18" s="3">
        <v>45845</v>
      </c>
      <c r="D18" s="1" t="s">
        <v>125</v>
      </c>
      <c r="E18" s="2">
        <v>648148</v>
      </c>
      <c r="F18" s="2">
        <v>51852</v>
      </c>
      <c r="G18" s="2">
        <f t="shared" si="0"/>
        <v>700000</v>
      </c>
      <c r="I18" s="1"/>
      <c r="J18" s="1"/>
      <c r="K18" s="1"/>
      <c r="L18" s="1"/>
      <c r="M18" s="2"/>
    </row>
    <row r="19" spans="3:13" x14ac:dyDescent="0.25">
      <c r="C19" s="3">
        <v>45845</v>
      </c>
      <c r="D19" s="1" t="s">
        <v>350</v>
      </c>
      <c r="E19" s="2">
        <v>1111111</v>
      </c>
      <c r="F19" s="2">
        <v>88889</v>
      </c>
      <c r="G19" s="2">
        <f t="shared" si="0"/>
        <v>1200000</v>
      </c>
      <c r="I19" s="1"/>
      <c r="J19" s="1"/>
      <c r="K19" s="1"/>
      <c r="L19" s="1"/>
      <c r="M19" s="2"/>
    </row>
    <row r="20" spans="3:13" x14ac:dyDescent="0.25">
      <c r="C20" s="3">
        <v>45851</v>
      </c>
      <c r="D20" s="1" t="s">
        <v>291</v>
      </c>
      <c r="E20" s="2">
        <v>19444447</v>
      </c>
      <c r="F20" s="2">
        <v>1555553</v>
      </c>
      <c r="G20" s="2">
        <f t="shared" si="0"/>
        <v>21000000</v>
      </c>
      <c r="I20" s="1"/>
      <c r="J20" s="1"/>
      <c r="K20" s="1"/>
      <c r="L20" s="1"/>
      <c r="M20" s="2"/>
    </row>
    <row r="21" spans="3:13" x14ac:dyDescent="0.25">
      <c r="C21" s="3">
        <v>45851</v>
      </c>
      <c r="D21" s="1" t="s">
        <v>292</v>
      </c>
      <c r="E21" s="2">
        <v>462963</v>
      </c>
      <c r="F21" s="2">
        <v>37037</v>
      </c>
      <c r="G21" s="2">
        <f t="shared" si="0"/>
        <v>500000</v>
      </c>
      <c r="I21" s="1"/>
      <c r="J21" s="1"/>
      <c r="K21" s="1"/>
      <c r="L21" s="1"/>
      <c r="M21" s="2"/>
    </row>
    <row r="22" spans="3:13" x14ac:dyDescent="0.25">
      <c r="C22" s="3">
        <v>45851</v>
      </c>
      <c r="D22" s="1" t="s">
        <v>293</v>
      </c>
      <c r="E22" s="2">
        <v>1481481</v>
      </c>
      <c r="F22" s="2">
        <v>118519</v>
      </c>
      <c r="G22" s="2">
        <f t="shared" si="0"/>
        <v>1600000</v>
      </c>
      <c r="I22" s="1"/>
      <c r="J22" s="1"/>
      <c r="K22" s="1"/>
      <c r="L22" s="1"/>
      <c r="M22" s="2"/>
    </row>
    <row r="23" spans="3:13" x14ac:dyDescent="0.25">
      <c r="C23" s="3">
        <v>45851</v>
      </c>
      <c r="D23" s="1" t="s">
        <v>294</v>
      </c>
      <c r="E23" s="2">
        <v>4444443</v>
      </c>
      <c r="F23" s="2">
        <v>355557</v>
      </c>
      <c r="G23" s="2">
        <f t="shared" si="0"/>
        <v>4800000</v>
      </c>
      <c r="I23" s="1"/>
      <c r="J23" s="1"/>
      <c r="K23" s="1"/>
      <c r="L23" s="1"/>
      <c r="M23" s="2"/>
    </row>
    <row r="24" spans="3:13" x14ac:dyDescent="0.25">
      <c r="C24" s="3">
        <v>45852</v>
      </c>
      <c r="D24" s="1" t="s">
        <v>295</v>
      </c>
      <c r="E24" s="2">
        <v>2592593</v>
      </c>
      <c r="F24" s="2">
        <v>207407</v>
      </c>
      <c r="G24" s="2">
        <f t="shared" si="0"/>
        <v>2800000</v>
      </c>
      <c r="M24" s="2"/>
    </row>
    <row r="25" spans="3:13" x14ac:dyDescent="0.25">
      <c r="C25" s="3">
        <v>45852</v>
      </c>
      <c r="D25" s="1" t="s">
        <v>296</v>
      </c>
      <c r="E25" s="2">
        <v>2222222</v>
      </c>
      <c r="F25" s="2">
        <v>177778</v>
      </c>
      <c r="G25" s="2">
        <f t="shared" si="0"/>
        <v>2400000</v>
      </c>
      <c r="M25" s="2"/>
    </row>
    <row r="26" spans="3:13" x14ac:dyDescent="0.25">
      <c r="C26" s="3">
        <v>45858</v>
      </c>
      <c r="D26" s="1" t="s">
        <v>297</v>
      </c>
      <c r="E26" s="2">
        <v>740741</v>
      </c>
      <c r="F26" s="2">
        <v>59259</v>
      </c>
      <c r="G26" s="2">
        <f t="shared" si="0"/>
        <v>800000</v>
      </c>
      <c r="M26" s="2"/>
    </row>
    <row r="27" spans="3:13" x14ac:dyDescent="0.25">
      <c r="C27" s="3">
        <v>45858</v>
      </c>
      <c r="D27" s="1" t="s">
        <v>298</v>
      </c>
      <c r="E27" s="2">
        <v>1388889</v>
      </c>
      <c r="F27" s="2">
        <v>111111</v>
      </c>
      <c r="G27" s="2">
        <f t="shared" si="0"/>
        <v>1500000</v>
      </c>
      <c r="M27" s="2"/>
    </row>
    <row r="28" spans="3:13" x14ac:dyDescent="0.25">
      <c r="C28" s="3">
        <v>45858</v>
      </c>
      <c r="D28" s="1" t="s">
        <v>299</v>
      </c>
      <c r="E28" s="2">
        <v>370370</v>
      </c>
      <c r="F28" s="2">
        <v>29630</v>
      </c>
      <c r="G28" s="2">
        <f t="shared" si="0"/>
        <v>400000</v>
      </c>
    </row>
    <row r="29" spans="3:13" x14ac:dyDescent="0.25">
      <c r="C29" s="3">
        <v>45858</v>
      </c>
      <c r="D29" s="1" t="s">
        <v>300</v>
      </c>
      <c r="E29" s="2">
        <v>1388889</v>
      </c>
      <c r="F29" s="2">
        <v>111111</v>
      </c>
      <c r="G29" s="2">
        <f t="shared" si="0"/>
        <v>1500000</v>
      </c>
    </row>
    <row r="30" spans="3:13" x14ac:dyDescent="0.25">
      <c r="C30" s="3">
        <v>45858</v>
      </c>
      <c r="D30" s="2" t="s">
        <v>301</v>
      </c>
      <c r="E30" s="2">
        <v>370370</v>
      </c>
      <c r="F30" s="2">
        <v>29630</v>
      </c>
      <c r="G30" s="2">
        <f t="shared" si="0"/>
        <v>400000</v>
      </c>
    </row>
    <row r="31" spans="3:13" x14ac:dyDescent="0.25">
      <c r="C31" s="3">
        <v>45858</v>
      </c>
      <c r="D31" s="2" t="s">
        <v>302</v>
      </c>
      <c r="E31" s="2">
        <v>925926</v>
      </c>
      <c r="F31" s="2">
        <v>74074</v>
      </c>
      <c r="G31" s="2">
        <f t="shared" si="0"/>
        <v>1000000</v>
      </c>
    </row>
    <row r="32" spans="3:13" x14ac:dyDescent="0.25">
      <c r="C32" s="3">
        <v>45858</v>
      </c>
      <c r="D32" s="2" t="s">
        <v>303</v>
      </c>
      <c r="E32" s="2">
        <v>740741</v>
      </c>
      <c r="F32" s="2">
        <v>59259</v>
      </c>
      <c r="G32" s="2">
        <f t="shared" si="0"/>
        <v>800000</v>
      </c>
    </row>
    <row r="33" spans="3:13" x14ac:dyDescent="0.25">
      <c r="C33" s="3">
        <v>45858</v>
      </c>
      <c r="D33" s="2" t="s">
        <v>304</v>
      </c>
      <c r="E33" s="2">
        <v>925926</v>
      </c>
      <c r="F33" s="2">
        <v>74074</v>
      </c>
      <c r="G33" s="2">
        <f t="shared" si="0"/>
        <v>1000000</v>
      </c>
    </row>
    <row r="34" spans="3:13" x14ac:dyDescent="0.25">
      <c r="C34" s="3">
        <v>45858</v>
      </c>
      <c r="D34" s="2" t="s">
        <v>305</v>
      </c>
      <c r="E34" s="2">
        <v>462963</v>
      </c>
      <c r="F34" s="2">
        <v>37037</v>
      </c>
      <c r="G34" s="2">
        <f t="shared" si="0"/>
        <v>500000</v>
      </c>
    </row>
    <row r="35" spans="3:13" x14ac:dyDescent="0.25">
      <c r="C35" s="3">
        <v>45858</v>
      </c>
      <c r="D35" s="2" t="s">
        <v>306</v>
      </c>
      <c r="E35" s="2">
        <v>462963</v>
      </c>
      <c r="F35" s="2">
        <v>37037</v>
      </c>
      <c r="G35" s="2">
        <f t="shared" si="0"/>
        <v>500000</v>
      </c>
    </row>
    <row r="36" spans="3:13" x14ac:dyDescent="0.25">
      <c r="C36" s="3">
        <v>45858</v>
      </c>
      <c r="D36" s="2" t="s">
        <v>307</v>
      </c>
      <c r="E36" s="2">
        <v>462963</v>
      </c>
      <c r="F36" s="2">
        <v>37037</v>
      </c>
      <c r="G36" s="2">
        <f t="shared" si="0"/>
        <v>500000</v>
      </c>
    </row>
    <row r="37" spans="3:13" x14ac:dyDescent="0.25">
      <c r="C37" s="3">
        <v>45859</v>
      </c>
      <c r="D37" s="1" t="s">
        <v>308</v>
      </c>
      <c r="E37" s="2">
        <v>740741</v>
      </c>
      <c r="F37" s="2">
        <v>59259</v>
      </c>
      <c r="G37" s="2">
        <f t="shared" si="0"/>
        <v>800000</v>
      </c>
    </row>
    <row r="38" spans="3:13" x14ac:dyDescent="0.25">
      <c r="C38" s="3">
        <v>45859</v>
      </c>
      <c r="D38" s="1" t="s">
        <v>284</v>
      </c>
      <c r="E38" s="2">
        <v>5555556</v>
      </c>
      <c r="F38" s="2">
        <v>444444</v>
      </c>
      <c r="G38" s="2">
        <f t="shared" si="0"/>
        <v>6000000</v>
      </c>
      <c r="K38" s="4"/>
      <c r="L38" s="4"/>
      <c r="M38" s="4"/>
    </row>
    <row r="39" spans="3:13" x14ac:dyDescent="0.25">
      <c r="C39" s="3">
        <v>45861</v>
      </c>
      <c r="D39" s="1" t="s">
        <v>309</v>
      </c>
      <c r="E39" s="2">
        <v>7777778</v>
      </c>
      <c r="F39" s="2">
        <v>622222</v>
      </c>
      <c r="G39" s="2">
        <f t="shared" si="0"/>
        <v>8400000</v>
      </c>
    </row>
    <row r="40" spans="3:13" x14ac:dyDescent="0.25">
      <c r="C40" s="3">
        <v>45861</v>
      </c>
      <c r="D40" s="1" t="s">
        <v>310</v>
      </c>
      <c r="E40" s="2">
        <v>740741</v>
      </c>
      <c r="F40" s="2">
        <v>59259</v>
      </c>
      <c r="G40" s="2">
        <f t="shared" si="0"/>
        <v>800000</v>
      </c>
    </row>
    <row r="41" spans="3:13" x14ac:dyDescent="0.25">
      <c r="C41" s="3">
        <v>45862</v>
      </c>
      <c r="D41" s="1" t="s">
        <v>312</v>
      </c>
      <c r="E41" s="2">
        <v>3333333</v>
      </c>
      <c r="F41" s="2">
        <v>266667</v>
      </c>
      <c r="G41" s="2">
        <f t="shared" si="0"/>
        <v>3600000</v>
      </c>
    </row>
    <row r="42" spans="3:13" x14ac:dyDescent="0.25">
      <c r="C42" s="3">
        <v>45862</v>
      </c>
      <c r="D42" s="1" t="s">
        <v>313</v>
      </c>
      <c r="E42" s="2">
        <v>1851852</v>
      </c>
      <c r="F42" s="2">
        <v>148148</v>
      </c>
      <c r="G42" s="2">
        <f t="shared" si="0"/>
        <v>2000000</v>
      </c>
    </row>
    <row r="43" spans="3:13" x14ac:dyDescent="0.25">
      <c r="C43" s="3">
        <v>45864</v>
      </c>
      <c r="D43" s="1" t="s">
        <v>314</v>
      </c>
      <c r="E43" s="2">
        <v>1296296</v>
      </c>
      <c r="F43" s="2">
        <v>103704</v>
      </c>
      <c r="G43" s="2">
        <f t="shared" si="0"/>
        <v>1400000</v>
      </c>
    </row>
    <row r="44" spans="3:13" x14ac:dyDescent="0.25">
      <c r="C44" s="3">
        <v>45864</v>
      </c>
      <c r="D44" s="1" t="s">
        <v>315</v>
      </c>
      <c r="E44" s="2">
        <v>1851852</v>
      </c>
      <c r="F44" s="2">
        <v>148148</v>
      </c>
      <c r="G44" s="2">
        <f t="shared" si="0"/>
        <v>2000000</v>
      </c>
    </row>
    <row r="45" spans="3:13" x14ac:dyDescent="0.25">
      <c r="C45" s="3">
        <v>45866</v>
      </c>
      <c r="D45" s="1" t="s">
        <v>316</v>
      </c>
      <c r="E45" s="2">
        <v>1666667</v>
      </c>
      <c r="F45" s="2">
        <v>133333</v>
      </c>
      <c r="G45" s="2">
        <f t="shared" si="0"/>
        <v>1800000</v>
      </c>
    </row>
    <row r="46" spans="3:13" x14ac:dyDescent="0.25">
      <c r="C46" s="3">
        <v>45866</v>
      </c>
      <c r="D46" s="1" t="s">
        <v>317</v>
      </c>
      <c r="E46" s="2">
        <v>1111111</v>
      </c>
      <c r="F46" s="2">
        <v>88889</v>
      </c>
      <c r="G46" s="2">
        <f t="shared" si="0"/>
        <v>1200000</v>
      </c>
    </row>
    <row r="47" spans="3:13" x14ac:dyDescent="0.25">
      <c r="C47" s="3">
        <v>45867</v>
      </c>
      <c r="D47" s="1" t="s">
        <v>318</v>
      </c>
      <c r="E47" s="2">
        <v>1944444</v>
      </c>
      <c r="F47" s="2">
        <v>155556</v>
      </c>
      <c r="G47" s="2">
        <f t="shared" si="0"/>
        <v>2100000</v>
      </c>
    </row>
    <row r="48" spans="3:13" x14ac:dyDescent="0.25">
      <c r="C48" s="3">
        <v>45867</v>
      </c>
      <c r="D48" s="1" t="s">
        <v>319</v>
      </c>
      <c r="E48" s="1">
        <v>1388889</v>
      </c>
      <c r="F48" s="1">
        <v>111111</v>
      </c>
      <c r="G48" s="2">
        <f t="shared" si="0"/>
        <v>1500000</v>
      </c>
    </row>
    <row r="49" spans="3:13" x14ac:dyDescent="0.25">
      <c r="C49" s="3">
        <v>45867</v>
      </c>
      <c r="D49" s="1" t="s">
        <v>320</v>
      </c>
      <c r="E49" s="1">
        <v>1111111</v>
      </c>
      <c r="F49" s="1">
        <v>88889</v>
      </c>
      <c r="G49" s="2">
        <f t="shared" si="0"/>
        <v>1200000</v>
      </c>
    </row>
    <row r="50" spans="3:13" x14ac:dyDescent="0.25">
      <c r="D50" s="1" t="s">
        <v>8</v>
      </c>
      <c r="E50" s="2">
        <f>SUM(E4:E49)</f>
        <v>113335327</v>
      </c>
      <c r="F50" s="2">
        <f>SUM(F4:F49)</f>
        <v>9066825</v>
      </c>
      <c r="G50" s="2">
        <f>SUM(G4:G49)</f>
        <v>122402152</v>
      </c>
      <c r="I50" s="1"/>
      <c r="J50" s="1" t="s">
        <v>8</v>
      </c>
      <c r="K50" s="2">
        <f>SUM(K4:K28)</f>
        <v>32774805</v>
      </c>
      <c r="L50" s="2">
        <f>SUM(L4:L28)</f>
        <v>2602350</v>
      </c>
      <c r="M50" s="2">
        <f>SUM(M4:M28)</f>
        <v>35377155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29"/>
  <sheetViews>
    <sheetView workbookViewId="0">
      <selection activeCell="H34" sqref="H34"/>
    </sheetView>
  </sheetViews>
  <sheetFormatPr defaultRowHeight="15" x14ac:dyDescent="0.25"/>
  <cols>
    <col min="2" max="2" width="16.85546875" customWidth="1"/>
    <col min="3" max="3" width="10" style="1" customWidth="1"/>
    <col min="4" max="4" width="43.7109375" style="1" bestFit="1" customWidth="1"/>
    <col min="5" max="5" width="12.42578125" style="1" customWidth="1"/>
    <col min="6" max="6" width="10.85546875" style="1" customWidth="1"/>
    <col min="7" max="7" width="11.5703125" style="1" customWidth="1"/>
    <col min="8" max="8" width="22.5703125" customWidth="1"/>
    <col min="10" max="10" width="22.85546875" customWidth="1"/>
    <col min="11" max="11" width="13.140625" customWidth="1"/>
    <col min="12" max="12" width="10.7109375" customWidth="1"/>
    <col min="13" max="13" width="12.7109375" customWidth="1"/>
  </cols>
  <sheetData>
    <row r="3" spans="2:13" x14ac:dyDescent="0.25">
      <c r="B3" s="1" t="s">
        <v>9</v>
      </c>
      <c r="C3" s="1" t="s">
        <v>0</v>
      </c>
      <c r="D3" s="1" t="s">
        <v>10</v>
      </c>
      <c r="E3" s="1" t="s">
        <v>2</v>
      </c>
      <c r="F3" s="1" t="s">
        <v>16</v>
      </c>
      <c r="G3" s="1" t="s">
        <v>17</v>
      </c>
      <c r="H3" s="1" t="s">
        <v>11</v>
      </c>
      <c r="I3" s="1" t="s">
        <v>0</v>
      </c>
      <c r="J3" s="1" t="s">
        <v>12</v>
      </c>
      <c r="K3" s="1" t="s">
        <v>1</v>
      </c>
      <c r="L3" s="1" t="s">
        <v>16</v>
      </c>
      <c r="M3" s="1" t="s">
        <v>18</v>
      </c>
    </row>
    <row r="4" spans="2:13" x14ac:dyDescent="0.25">
      <c r="C4" s="3">
        <v>45870</v>
      </c>
      <c r="D4" s="1" t="s">
        <v>321</v>
      </c>
      <c r="E4" s="2">
        <v>1388889</v>
      </c>
      <c r="F4" s="2">
        <v>111111</v>
      </c>
      <c r="G4" s="2">
        <f>SUM(E4:F4)</f>
        <v>1500000</v>
      </c>
      <c r="H4" s="1"/>
      <c r="I4" s="3">
        <v>45873</v>
      </c>
      <c r="J4" s="1" t="s">
        <v>106</v>
      </c>
      <c r="K4" s="2">
        <v>27999</v>
      </c>
      <c r="L4" s="2">
        <v>2800</v>
      </c>
      <c r="M4" s="2">
        <f>SUM(K4:L4)</f>
        <v>30799</v>
      </c>
    </row>
    <row r="5" spans="2:13" x14ac:dyDescent="0.25">
      <c r="C5" s="3">
        <v>45870</v>
      </c>
      <c r="D5" s="1" t="s">
        <v>322</v>
      </c>
      <c r="E5" s="2">
        <v>833333</v>
      </c>
      <c r="F5" s="2">
        <v>66667</v>
      </c>
      <c r="G5" s="2">
        <f t="shared" ref="G5:G28" si="0">SUM(E5:F5)</f>
        <v>900000</v>
      </c>
      <c r="I5" s="3">
        <v>45871</v>
      </c>
      <c r="J5" s="1" t="s">
        <v>55</v>
      </c>
      <c r="K5" s="2">
        <v>27790128</v>
      </c>
      <c r="L5" s="2">
        <v>2223210</v>
      </c>
      <c r="M5" s="2">
        <f t="shared" ref="M5:M12" si="1">SUM(K5:L5)</f>
        <v>30013338</v>
      </c>
    </row>
    <row r="6" spans="2:13" x14ac:dyDescent="0.25">
      <c r="C6" s="3">
        <v>45870</v>
      </c>
      <c r="D6" s="1" t="s">
        <v>35</v>
      </c>
      <c r="E6" s="2">
        <v>9579900</v>
      </c>
      <c r="F6" s="2">
        <v>766392</v>
      </c>
      <c r="G6" s="2">
        <f t="shared" si="0"/>
        <v>10346292</v>
      </c>
      <c r="I6" s="3">
        <v>45883</v>
      </c>
      <c r="J6" s="1" t="s">
        <v>331</v>
      </c>
      <c r="K6" s="2">
        <v>1200000</v>
      </c>
      <c r="L6" s="2">
        <v>96000</v>
      </c>
      <c r="M6" s="2">
        <f t="shared" si="1"/>
        <v>1296000</v>
      </c>
    </row>
    <row r="7" spans="2:13" x14ac:dyDescent="0.25">
      <c r="C7" s="3">
        <v>45871</v>
      </c>
      <c r="D7" s="1" t="s">
        <v>323</v>
      </c>
      <c r="E7" s="2">
        <v>2592593</v>
      </c>
      <c r="F7" s="2">
        <v>207407</v>
      </c>
      <c r="G7" s="2">
        <f t="shared" si="0"/>
        <v>2800000</v>
      </c>
      <c r="I7" s="3">
        <v>45885</v>
      </c>
      <c r="J7" s="1" t="s">
        <v>335</v>
      </c>
      <c r="K7" s="2">
        <v>24910000</v>
      </c>
      <c r="L7" s="2">
        <v>1992800</v>
      </c>
      <c r="M7" s="2">
        <f t="shared" si="1"/>
        <v>26902800</v>
      </c>
    </row>
    <row r="8" spans="2:13" x14ac:dyDescent="0.25">
      <c r="C8" s="3">
        <v>45871</v>
      </c>
      <c r="D8" s="1" t="s">
        <v>324</v>
      </c>
      <c r="E8" s="2">
        <v>925926</v>
      </c>
      <c r="F8" s="2">
        <v>74074</v>
      </c>
      <c r="G8" s="2">
        <f t="shared" si="0"/>
        <v>1000000</v>
      </c>
      <c r="I8" s="3">
        <v>45881</v>
      </c>
      <c r="J8" s="1" t="s">
        <v>61</v>
      </c>
      <c r="K8" s="2">
        <v>240909</v>
      </c>
      <c r="L8" s="2">
        <v>19273</v>
      </c>
      <c r="M8" s="2">
        <f t="shared" si="1"/>
        <v>260182</v>
      </c>
    </row>
    <row r="9" spans="2:13" x14ac:dyDescent="0.25">
      <c r="C9" s="3">
        <v>45876</v>
      </c>
      <c r="D9" s="1" t="s">
        <v>325</v>
      </c>
      <c r="E9" s="2">
        <v>833333</v>
      </c>
      <c r="F9" s="2">
        <v>66667</v>
      </c>
      <c r="G9" s="2">
        <f t="shared" si="0"/>
        <v>900000</v>
      </c>
      <c r="I9" s="3">
        <v>45880</v>
      </c>
      <c r="J9" s="1" t="s">
        <v>79</v>
      </c>
      <c r="K9" s="2">
        <v>2849670</v>
      </c>
      <c r="L9" s="2">
        <v>155170</v>
      </c>
      <c r="M9" s="2">
        <f t="shared" si="1"/>
        <v>3004840</v>
      </c>
    </row>
    <row r="10" spans="2:13" x14ac:dyDescent="0.25">
      <c r="C10" s="3">
        <v>45878</v>
      </c>
      <c r="D10" s="1" t="s">
        <v>326</v>
      </c>
      <c r="E10" s="2">
        <v>3240741</v>
      </c>
      <c r="F10" s="2">
        <v>259259</v>
      </c>
      <c r="G10" s="2">
        <f t="shared" si="0"/>
        <v>3500000</v>
      </c>
      <c r="I10" s="3">
        <v>45899</v>
      </c>
      <c r="J10" s="1" t="s">
        <v>188</v>
      </c>
      <c r="K10" s="2">
        <v>669904</v>
      </c>
      <c r="L10" s="2">
        <v>66990</v>
      </c>
      <c r="M10" s="2">
        <f t="shared" si="1"/>
        <v>736894</v>
      </c>
    </row>
    <row r="11" spans="2:13" x14ac:dyDescent="0.25">
      <c r="C11" s="3">
        <v>45878</v>
      </c>
      <c r="D11" s="1" t="s">
        <v>327</v>
      </c>
      <c r="E11" s="2">
        <v>555556</v>
      </c>
      <c r="F11" s="2">
        <v>44444</v>
      </c>
      <c r="G11" s="2">
        <f t="shared" si="0"/>
        <v>600000</v>
      </c>
      <c r="I11" s="3">
        <v>45900</v>
      </c>
      <c r="J11" s="1" t="s">
        <v>50</v>
      </c>
      <c r="K11" s="2">
        <v>510455</v>
      </c>
      <c r="L11" s="2">
        <v>51046</v>
      </c>
      <c r="M11" s="2">
        <f t="shared" si="1"/>
        <v>561501</v>
      </c>
    </row>
    <row r="12" spans="2:13" x14ac:dyDescent="0.25">
      <c r="C12" s="3">
        <v>45880</v>
      </c>
      <c r="D12" s="1" t="s">
        <v>328</v>
      </c>
      <c r="E12" s="2">
        <v>740741</v>
      </c>
      <c r="F12" s="2">
        <v>59259</v>
      </c>
      <c r="G12" s="2">
        <f t="shared" si="0"/>
        <v>800000</v>
      </c>
      <c r="I12" s="3">
        <v>45895</v>
      </c>
      <c r="J12" s="1" t="s">
        <v>81</v>
      </c>
      <c r="K12" s="2">
        <v>916667</v>
      </c>
      <c r="L12" s="2">
        <v>73333</v>
      </c>
      <c r="M12" s="2">
        <f t="shared" si="1"/>
        <v>990000</v>
      </c>
    </row>
    <row r="13" spans="2:13" x14ac:dyDescent="0.25">
      <c r="C13" s="3">
        <v>45880</v>
      </c>
      <c r="D13" s="1" t="s">
        <v>329</v>
      </c>
      <c r="E13" s="2">
        <v>1296296</v>
      </c>
      <c r="F13" s="2">
        <v>103704</v>
      </c>
      <c r="G13" s="2">
        <f t="shared" si="0"/>
        <v>1400000</v>
      </c>
      <c r="I13" s="3"/>
      <c r="J13" s="1"/>
      <c r="K13" s="2"/>
      <c r="L13" s="2"/>
      <c r="M13" s="2"/>
    </row>
    <row r="14" spans="2:13" x14ac:dyDescent="0.25">
      <c r="C14" s="3">
        <v>45884</v>
      </c>
      <c r="D14" s="1" t="s">
        <v>330</v>
      </c>
      <c r="E14" s="2">
        <v>277778</v>
      </c>
      <c r="F14" s="2">
        <v>22222</v>
      </c>
      <c r="G14" s="2">
        <f t="shared" si="0"/>
        <v>300000</v>
      </c>
      <c r="I14" s="3"/>
      <c r="J14" s="1"/>
      <c r="K14" s="2"/>
      <c r="L14" s="2"/>
      <c r="M14" s="2"/>
    </row>
    <row r="15" spans="2:13" x14ac:dyDescent="0.25">
      <c r="C15" s="3">
        <v>45888</v>
      </c>
      <c r="D15" s="1" t="s">
        <v>332</v>
      </c>
      <c r="E15" s="2">
        <v>833333</v>
      </c>
      <c r="F15" s="2">
        <v>66667</v>
      </c>
      <c r="G15" s="2">
        <f t="shared" si="0"/>
        <v>900000</v>
      </c>
      <c r="I15" s="3"/>
      <c r="J15" s="1"/>
      <c r="K15" s="2"/>
      <c r="L15" s="2"/>
      <c r="M15" s="2"/>
    </row>
    <row r="16" spans="2:13" x14ac:dyDescent="0.25">
      <c r="C16" s="3">
        <v>45888</v>
      </c>
      <c r="D16" s="1" t="s">
        <v>333</v>
      </c>
      <c r="E16" s="2">
        <v>1111111</v>
      </c>
      <c r="F16" s="2">
        <v>88889</v>
      </c>
      <c r="G16" s="2">
        <f t="shared" si="0"/>
        <v>1200000</v>
      </c>
      <c r="I16" s="1"/>
      <c r="J16" s="1"/>
      <c r="K16" s="1"/>
      <c r="L16" s="1"/>
      <c r="M16" s="2"/>
    </row>
    <row r="17" spans="3:13" x14ac:dyDescent="0.25">
      <c r="C17" s="3">
        <v>45888</v>
      </c>
      <c r="D17" s="1" t="s">
        <v>334</v>
      </c>
      <c r="E17" s="2">
        <v>5555556</v>
      </c>
      <c r="F17" s="2">
        <v>444444</v>
      </c>
      <c r="G17" s="2">
        <f t="shared" si="0"/>
        <v>6000000</v>
      </c>
      <c r="I17" s="1"/>
      <c r="J17" s="1"/>
      <c r="K17" s="1"/>
      <c r="L17" s="1"/>
      <c r="M17" s="2"/>
    </row>
    <row r="18" spans="3:13" x14ac:dyDescent="0.25">
      <c r="C18" s="3">
        <v>45891</v>
      </c>
      <c r="D18" s="1" t="s">
        <v>336</v>
      </c>
      <c r="E18" s="2">
        <v>833333</v>
      </c>
      <c r="F18" s="2">
        <v>66667</v>
      </c>
      <c r="G18" s="2">
        <f t="shared" si="0"/>
        <v>900000</v>
      </c>
      <c r="I18" s="1"/>
      <c r="J18" s="1"/>
      <c r="K18" s="1"/>
      <c r="L18" s="1"/>
      <c r="M18" s="2"/>
    </row>
    <row r="19" spans="3:13" x14ac:dyDescent="0.25">
      <c r="C19" s="3">
        <v>45893</v>
      </c>
      <c r="D19" s="1" t="s">
        <v>337</v>
      </c>
      <c r="E19" s="2">
        <v>648148</v>
      </c>
      <c r="F19" s="2">
        <v>51852</v>
      </c>
      <c r="G19" s="2">
        <f t="shared" si="0"/>
        <v>700000</v>
      </c>
      <c r="I19" s="1"/>
      <c r="J19" s="1"/>
      <c r="K19" s="1"/>
      <c r="L19" s="1"/>
      <c r="M19" s="2"/>
    </row>
    <row r="20" spans="3:13" x14ac:dyDescent="0.25">
      <c r="C20" s="3">
        <v>45900</v>
      </c>
      <c r="D20" s="1" t="s">
        <v>338</v>
      </c>
      <c r="E20" s="2">
        <v>1111111</v>
      </c>
      <c r="F20" s="2">
        <v>88889</v>
      </c>
      <c r="G20" s="2">
        <f t="shared" si="0"/>
        <v>1200000</v>
      </c>
      <c r="I20" s="1"/>
      <c r="J20" s="1"/>
      <c r="K20" s="1"/>
      <c r="L20" s="1"/>
      <c r="M20" s="2"/>
    </row>
    <row r="21" spans="3:13" x14ac:dyDescent="0.25">
      <c r="C21" s="3"/>
      <c r="E21" s="2"/>
      <c r="F21" s="2"/>
      <c r="G21" s="2">
        <f t="shared" si="0"/>
        <v>0</v>
      </c>
      <c r="I21" s="1"/>
      <c r="J21" s="1"/>
      <c r="K21" s="1"/>
      <c r="L21" s="1"/>
      <c r="M21" s="2"/>
    </row>
    <row r="22" spans="3:13" x14ac:dyDescent="0.25">
      <c r="C22" s="3"/>
      <c r="E22" s="2"/>
      <c r="F22" s="2"/>
      <c r="G22" s="2">
        <f t="shared" si="0"/>
        <v>0</v>
      </c>
      <c r="M22" s="2"/>
    </row>
    <row r="23" spans="3:13" x14ac:dyDescent="0.25">
      <c r="C23" s="3"/>
      <c r="E23" s="2"/>
      <c r="F23" s="2"/>
      <c r="G23" s="2">
        <f t="shared" si="0"/>
        <v>0</v>
      </c>
      <c r="M23" s="2"/>
    </row>
    <row r="24" spans="3:13" x14ac:dyDescent="0.25">
      <c r="C24" s="3"/>
      <c r="E24" s="2"/>
      <c r="F24" s="2"/>
      <c r="G24" s="2">
        <f t="shared" si="0"/>
        <v>0</v>
      </c>
      <c r="M24" s="2"/>
    </row>
    <row r="25" spans="3:13" x14ac:dyDescent="0.25">
      <c r="C25" s="3"/>
      <c r="E25" s="2"/>
      <c r="F25" s="2"/>
      <c r="G25" s="2">
        <f t="shared" si="0"/>
        <v>0</v>
      </c>
      <c r="M25" s="2"/>
    </row>
    <row r="26" spans="3:13" x14ac:dyDescent="0.25">
      <c r="C26" s="3"/>
      <c r="E26" s="2"/>
      <c r="F26" s="2"/>
      <c r="G26" s="2">
        <f t="shared" si="0"/>
        <v>0</v>
      </c>
    </row>
    <row r="27" spans="3:13" x14ac:dyDescent="0.25">
      <c r="C27" s="3"/>
      <c r="E27" s="2"/>
      <c r="F27" s="2"/>
      <c r="G27" s="2">
        <f t="shared" si="0"/>
        <v>0</v>
      </c>
    </row>
    <row r="28" spans="3:13" x14ac:dyDescent="0.25">
      <c r="C28" s="3"/>
      <c r="D28" s="2"/>
      <c r="E28" s="2"/>
      <c r="F28" s="2"/>
      <c r="G28" s="2">
        <f t="shared" si="0"/>
        <v>0</v>
      </c>
    </row>
    <row r="29" spans="3:13" x14ac:dyDescent="0.25">
      <c r="D29" s="1" t="s">
        <v>8</v>
      </c>
      <c r="E29" s="2">
        <f>SUM(E4:E28)</f>
        <v>32357678</v>
      </c>
      <c r="F29" s="2">
        <f>SUM(F4:F28)</f>
        <v>2588614</v>
      </c>
      <c r="G29" s="2">
        <f>SUM(G4:G28)</f>
        <v>34946292</v>
      </c>
      <c r="I29" s="1"/>
      <c r="J29" s="1" t="s">
        <v>8</v>
      </c>
      <c r="K29" s="2">
        <f>SUM(K4:K26)</f>
        <v>59115732</v>
      </c>
      <c r="L29" s="2">
        <f>SUM(L4:L26)</f>
        <v>4680622</v>
      </c>
      <c r="M29" s="2">
        <f>SUM(M4:M26)</f>
        <v>63796354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29"/>
  <sheetViews>
    <sheetView workbookViewId="0">
      <selection activeCell="D9" sqref="D9"/>
    </sheetView>
  </sheetViews>
  <sheetFormatPr defaultRowHeight="15" x14ac:dyDescent="0.25"/>
  <cols>
    <col min="2" max="2" width="16.85546875" customWidth="1"/>
    <col min="3" max="3" width="10" style="1" customWidth="1"/>
    <col min="4" max="4" width="43.7109375" style="1" bestFit="1" customWidth="1"/>
    <col min="5" max="5" width="12.42578125" style="1" customWidth="1"/>
    <col min="6" max="6" width="10.85546875" style="1" customWidth="1"/>
    <col min="7" max="7" width="11.5703125" style="1" customWidth="1"/>
    <col min="8" max="8" width="22.5703125" customWidth="1"/>
    <col min="10" max="10" width="22.85546875" customWidth="1"/>
    <col min="11" max="11" width="13.140625" customWidth="1"/>
    <col min="12" max="12" width="10.7109375" customWidth="1"/>
    <col min="13" max="13" width="12.7109375" customWidth="1"/>
  </cols>
  <sheetData>
    <row r="3" spans="2:13" x14ac:dyDescent="0.25">
      <c r="B3" s="1" t="s">
        <v>9</v>
      </c>
      <c r="C3" s="1" t="s">
        <v>0</v>
      </c>
      <c r="D3" s="1" t="s">
        <v>10</v>
      </c>
      <c r="E3" s="1" t="s">
        <v>2</v>
      </c>
      <c r="F3" s="1" t="s">
        <v>16</v>
      </c>
      <c r="G3" s="1" t="s">
        <v>17</v>
      </c>
      <c r="H3" s="1" t="s">
        <v>11</v>
      </c>
      <c r="I3" s="1" t="s">
        <v>0</v>
      </c>
      <c r="J3" s="1" t="s">
        <v>12</v>
      </c>
      <c r="K3" s="1" t="s">
        <v>1</v>
      </c>
      <c r="L3" s="1" t="s">
        <v>16</v>
      </c>
      <c r="M3" s="1" t="s">
        <v>18</v>
      </c>
    </row>
    <row r="4" spans="2:13" x14ac:dyDescent="0.25">
      <c r="C4" s="3">
        <v>45904</v>
      </c>
      <c r="D4" s="1" t="s">
        <v>339</v>
      </c>
      <c r="E4" s="2">
        <v>555556</v>
      </c>
      <c r="F4" s="2">
        <v>44444</v>
      </c>
      <c r="G4" s="2">
        <f>SUM(E4:F4)</f>
        <v>600000</v>
      </c>
      <c r="H4" s="1"/>
      <c r="I4" s="3">
        <v>45904</v>
      </c>
      <c r="J4" s="1" t="s">
        <v>118</v>
      </c>
      <c r="K4" s="2">
        <v>23877</v>
      </c>
      <c r="L4" s="2">
        <v>2388</v>
      </c>
      <c r="M4" s="2">
        <f>SUM(K4:L4)</f>
        <v>26265</v>
      </c>
    </row>
    <row r="5" spans="2:13" x14ac:dyDescent="0.25">
      <c r="C5" s="3">
        <v>45901</v>
      </c>
      <c r="D5" s="1" t="s">
        <v>35</v>
      </c>
      <c r="E5" s="2">
        <v>9576200</v>
      </c>
      <c r="F5" s="2">
        <v>766096</v>
      </c>
      <c r="G5" s="2">
        <f t="shared" ref="G5:G28" si="0">SUM(E5:F5)</f>
        <v>10342296</v>
      </c>
      <c r="I5" s="3">
        <v>45902</v>
      </c>
      <c r="J5" s="1" t="s">
        <v>55</v>
      </c>
      <c r="K5" s="2">
        <v>16323446</v>
      </c>
      <c r="L5" s="2">
        <v>1305876</v>
      </c>
      <c r="M5" s="2">
        <f t="shared" ref="M5:M11" si="1">SUM(K5:L5)</f>
        <v>17629322</v>
      </c>
    </row>
    <row r="6" spans="2:13" x14ac:dyDescent="0.25">
      <c r="C6" s="3">
        <v>45906</v>
      </c>
      <c r="D6" s="1" t="s">
        <v>340</v>
      </c>
      <c r="E6" s="2">
        <v>4259259</v>
      </c>
      <c r="F6" s="2">
        <v>340741</v>
      </c>
      <c r="G6" s="2">
        <f t="shared" si="0"/>
        <v>4600000</v>
      </c>
      <c r="I6" s="3">
        <v>45909</v>
      </c>
      <c r="J6" s="1" t="s">
        <v>342</v>
      </c>
      <c r="K6" s="2">
        <v>1400000</v>
      </c>
      <c r="L6" s="2">
        <v>112000</v>
      </c>
      <c r="M6" s="2">
        <f t="shared" si="1"/>
        <v>1512000</v>
      </c>
    </row>
    <row r="7" spans="2:13" x14ac:dyDescent="0.25">
      <c r="C7" s="3">
        <v>45907</v>
      </c>
      <c r="D7" s="1" t="s">
        <v>341</v>
      </c>
      <c r="E7" s="2">
        <v>555556</v>
      </c>
      <c r="F7" s="2">
        <v>44444</v>
      </c>
      <c r="G7" s="2">
        <f t="shared" si="0"/>
        <v>600000</v>
      </c>
      <c r="I7" s="3">
        <v>45918</v>
      </c>
      <c r="J7" s="1" t="s">
        <v>61</v>
      </c>
      <c r="K7" s="2">
        <v>240909</v>
      </c>
      <c r="L7" s="2">
        <v>19273</v>
      </c>
      <c r="M7" s="2">
        <f t="shared" si="1"/>
        <v>260182</v>
      </c>
    </row>
    <row r="8" spans="2:13" x14ac:dyDescent="0.25">
      <c r="C8" s="3">
        <v>45919</v>
      </c>
      <c r="D8" s="1" t="s">
        <v>343</v>
      </c>
      <c r="E8" s="2">
        <v>1944444</v>
      </c>
      <c r="F8" s="2">
        <v>155556</v>
      </c>
      <c r="G8" s="2">
        <f t="shared" si="0"/>
        <v>2100000</v>
      </c>
      <c r="I8" s="3">
        <v>45911</v>
      </c>
      <c r="J8" s="1" t="s">
        <v>79</v>
      </c>
      <c r="K8" s="2">
        <v>995668</v>
      </c>
      <c r="L8" s="2">
        <v>54216</v>
      </c>
      <c r="M8" s="2">
        <f t="shared" si="1"/>
        <v>1049884</v>
      </c>
    </row>
    <row r="9" spans="2:13" x14ac:dyDescent="0.25">
      <c r="C9" s="3">
        <v>45929</v>
      </c>
      <c r="D9" s="1" t="s">
        <v>345</v>
      </c>
      <c r="E9" s="2">
        <v>277778</v>
      </c>
      <c r="F9" s="2">
        <v>22222</v>
      </c>
      <c r="G9" s="2">
        <f t="shared" si="0"/>
        <v>300000</v>
      </c>
      <c r="I9" s="3">
        <v>45930</v>
      </c>
      <c r="J9" s="1" t="s">
        <v>116</v>
      </c>
      <c r="K9" s="2">
        <v>93864</v>
      </c>
      <c r="L9" s="2">
        <v>9386</v>
      </c>
      <c r="M9" s="2">
        <f t="shared" si="1"/>
        <v>103250</v>
      </c>
    </row>
    <row r="10" spans="2:13" x14ac:dyDescent="0.25">
      <c r="C10" s="3"/>
      <c r="E10" s="2"/>
      <c r="F10" s="2"/>
      <c r="G10" s="2">
        <f t="shared" si="0"/>
        <v>0</v>
      </c>
      <c r="I10" s="3">
        <v>45930</v>
      </c>
      <c r="J10" s="1" t="s">
        <v>50</v>
      </c>
      <c r="K10" s="2">
        <v>510455</v>
      </c>
      <c r="L10" s="2">
        <v>51046</v>
      </c>
      <c r="M10" s="2">
        <f t="shared" si="1"/>
        <v>561501</v>
      </c>
    </row>
    <row r="11" spans="2:13" x14ac:dyDescent="0.25">
      <c r="C11" s="3"/>
      <c r="E11" s="2"/>
      <c r="F11" s="2"/>
      <c r="G11" s="2">
        <f t="shared" si="0"/>
        <v>0</v>
      </c>
      <c r="I11" s="3"/>
      <c r="J11" s="1"/>
      <c r="K11" s="2"/>
      <c r="L11" s="2"/>
      <c r="M11" s="2">
        <f t="shared" si="1"/>
        <v>0</v>
      </c>
    </row>
    <row r="12" spans="2:13" x14ac:dyDescent="0.25">
      <c r="C12" s="3"/>
      <c r="E12" s="2"/>
      <c r="F12" s="2"/>
      <c r="G12" s="2">
        <f t="shared" si="0"/>
        <v>0</v>
      </c>
      <c r="I12" s="3"/>
      <c r="J12" s="1"/>
      <c r="K12" s="2"/>
      <c r="L12" s="2"/>
      <c r="M12" s="2"/>
    </row>
    <row r="13" spans="2:13" x14ac:dyDescent="0.25">
      <c r="C13" s="3"/>
      <c r="E13" s="2"/>
      <c r="F13" s="2"/>
      <c r="G13" s="2">
        <f t="shared" si="0"/>
        <v>0</v>
      </c>
      <c r="I13" s="3"/>
      <c r="J13" s="1"/>
      <c r="K13" s="2"/>
      <c r="L13" s="2"/>
      <c r="M13" s="2"/>
    </row>
    <row r="14" spans="2:13" x14ac:dyDescent="0.25">
      <c r="C14" s="3"/>
      <c r="E14" s="2"/>
      <c r="F14" s="2"/>
      <c r="G14" s="2">
        <f t="shared" si="0"/>
        <v>0</v>
      </c>
      <c r="I14" s="3"/>
      <c r="J14" s="1"/>
      <c r="K14" s="2"/>
      <c r="L14" s="2"/>
      <c r="M14" s="2"/>
    </row>
    <row r="15" spans="2:13" x14ac:dyDescent="0.25">
      <c r="C15" s="3"/>
      <c r="E15" s="2"/>
      <c r="F15" s="2"/>
      <c r="G15" s="2">
        <f t="shared" si="0"/>
        <v>0</v>
      </c>
      <c r="I15" s="3"/>
      <c r="J15" s="1"/>
      <c r="K15" s="2"/>
      <c r="L15" s="2"/>
      <c r="M15" s="2"/>
    </row>
    <row r="16" spans="2:13" x14ac:dyDescent="0.25">
      <c r="C16" s="3"/>
      <c r="E16" s="2"/>
      <c r="F16" s="2"/>
      <c r="G16" s="2">
        <f t="shared" si="0"/>
        <v>0</v>
      </c>
      <c r="I16" s="1"/>
      <c r="J16" s="1"/>
      <c r="K16" s="1"/>
      <c r="L16" s="1"/>
      <c r="M16" s="2"/>
    </row>
    <row r="17" spans="3:13" x14ac:dyDescent="0.25">
      <c r="C17" s="3"/>
      <c r="E17" s="2"/>
      <c r="F17" s="2"/>
      <c r="G17" s="2">
        <f t="shared" si="0"/>
        <v>0</v>
      </c>
      <c r="I17" s="1"/>
      <c r="J17" s="1"/>
      <c r="K17" s="1"/>
      <c r="L17" s="1"/>
      <c r="M17" s="2"/>
    </row>
    <row r="18" spans="3:13" x14ac:dyDescent="0.25">
      <c r="C18" s="3"/>
      <c r="E18" s="2"/>
      <c r="F18" s="2"/>
      <c r="G18" s="2">
        <f t="shared" si="0"/>
        <v>0</v>
      </c>
      <c r="I18" s="1"/>
      <c r="J18" s="1"/>
      <c r="K18" s="1"/>
      <c r="L18" s="1"/>
      <c r="M18" s="2"/>
    </row>
    <row r="19" spans="3:13" x14ac:dyDescent="0.25">
      <c r="C19" s="3"/>
      <c r="E19" s="2"/>
      <c r="F19" s="2"/>
      <c r="G19" s="2">
        <f t="shared" si="0"/>
        <v>0</v>
      </c>
      <c r="I19" s="1"/>
      <c r="J19" s="1"/>
      <c r="K19" s="1"/>
      <c r="L19" s="1"/>
      <c r="M19" s="2"/>
    </row>
    <row r="20" spans="3:13" x14ac:dyDescent="0.25">
      <c r="C20" s="3"/>
      <c r="E20" s="2"/>
      <c r="F20" s="2"/>
      <c r="G20" s="2">
        <f t="shared" si="0"/>
        <v>0</v>
      </c>
      <c r="I20" s="1"/>
      <c r="J20" s="1"/>
      <c r="K20" s="1"/>
      <c r="L20" s="1"/>
      <c r="M20" s="2"/>
    </row>
    <row r="21" spans="3:13" x14ac:dyDescent="0.25">
      <c r="C21" s="3"/>
      <c r="E21" s="2"/>
      <c r="F21" s="2"/>
      <c r="G21" s="2">
        <f t="shared" si="0"/>
        <v>0</v>
      </c>
      <c r="I21" s="1"/>
      <c r="J21" s="1"/>
      <c r="K21" s="1"/>
      <c r="L21" s="1"/>
      <c r="M21" s="2"/>
    </row>
    <row r="22" spans="3:13" x14ac:dyDescent="0.25">
      <c r="C22" s="3"/>
      <c r="E22" s="2"/>
      <c r="F22" s="2"/>
      <c r="G22" s="2">
        <f t="shared" si="0"/>
        <v>0</v>
      </c>
      <c r="M22" s="2"/>
    </row>
    <row r="23" spans="3:13" x14ac:dyDescent="0.25">
      <c r="C23" s="3"/>
      <c r="E23" s="2"/>
      <c r="F23" s="2"/>
      <c r="G23" s="2">
        <f t="shared" si="0"/>
        <v>0</v>
      </c>
      <c r="M23" s="2"/>
    </row>
    <row r="24" spans="3:13" x14ac:dyDescent="0.25">
      <c r="C24" s="3"/>
      <c r="E24" s="2"/>
      <c r="F24" s="2"/>
      <c r="G24" s="2">
        <f t="shared" si="0"/>
        <v>0</v>
      </c>
      <c r="M24" s="2"/>
    </row>
    <row r="25" spans="3:13" x14ac:dyDescent="0.25">
      <c r="C25" s="3"/>
      <c r="E25" s="2"/>
      <c r="F25" s="2"/>
      <c r="G25" s="2">
        <f t="shared" si="0"/>
        <v>0</v>
      </c>
      <c r="M25" s="2"/>
    </row>
    <row r="26" spans="3:13" x14ac:dyDescent="0.25">
      <c r="C26" s="3"/>
      <c r="E26" s="2"/>
      <c r="F26" s="2"/>
      <c r="G26" s="2">
        <f t="shared" si="0"/>
        <v>0</v>
      </c>
    </row>
    <row r="27" spans="3:13" x14ac:dyDescent="0.25">
      <c r="C27" s="3"/>
      <c r="E27" s="2"/>
      <c r="F27" s="2"/>
      <c r="G27" s="2">
        <f t="shared" si="0"/>
        <v>0</v>
      </c>
    </row>
    <row r="28" spans="3:13" x14ac:dyDescent="0.25">
      <c r="C28" s="3"/>
      <c r="D28" s="2"/>
      <c r="E28" s="2"/>
      <c r="F28" s="2"/>
      <c r="G28" s="2">
        <f t="shared" si="0"/>
        <v>0</v>
      </c>
    </row>
    <row r="29" spans="3:13" x14ac:dyDescent="0.25">
      <c r="D29" s="1" t="s">
        <v>8</v>
      </c>
      <c r="E29" s="2">
        <f>SUM(E4:E28)</f>
        <v>17168793</v>
      </c>
      <c r="F29" s="2">
        <f>SUM(F4:F28)</f>
        <v>1373503</v>
      </c>
      <c r="G29" s="2">
        <f>SUM(G4:G28)</f>
        <v>18542296</v>
      </c>
      <c r="I29" s="1"/>
      <c r="J29" s="1" t="s">
        <v>8</v>
      </c>
      <c r="K29" s="2">
        <f>SUM(K4:K26)</f>
        <v>19588219</v>
      </c>
      <c r="L29" s="2">
        <f>SUM(L4:L26)</f>
        <v>1554185</v>
      </c>
      <c r="M29" s="2">
        <f>SUM(M4:M26)</f>
        <v>21142404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29"/>
  <sheetViews>
    <sheetView workbookViewId="0">
      <selection activeCell="M8" sqref="M8"/>
    </sheetView>
  </sheetViews>
  <sheetFormatPr defaultRowHeight="15" x14ac:dyDescent="0.25"/>
  <cols>
    <col min="2" max="2" width="16.85546875" customWidth="1"/>
    <col min="3" max="3" width="10" style="1" customWidth="1"/>
    <col min="4" max="4" width="43.7109375" style="1" bestFit="1" customWidth="1"/>
    <col min="5" max="5" width="12.42578125" style="1" customWidth="1"/>
    <col min="6" max="6" width="10.85546875" style="1" customWidth="1"/>
    <col min="7" max="7" width="11.5703125" style="1" customWidth="1"/>
    <col min="8" max="8" width="22.5703125" customWidth="1"/>
    <col min="10" max="10" width="22.85546875" customWidth="1"/>
    <col min="11" max="11" width="13.140625" customWidth="1"/>
    <col min="12" max="12" width="10.7109375" customWidth="1"/>
    <col min="13" max="13" width="12.7109375" customWidth="1"/>
  </cols>
  <sheetData>
    <row r="3" spans="2:13" x14ac:dyDescent="0.25">
      <c r="B3" s="1" t="s">
        <v>9</v>
      </c>
      <c r="C3" s="1" t="s">
        <v>0</v>
      </c>
      <c r="D3" s="1" t="s">
        <v>10</v>
      </c>
      <c r="E3" s="1" t="s">
        <v>2</v>
      </c>
      <c r="F3" s="1" t="s">
        <v>16</v>
      </c>
      <c r="G3" s="1" t="s">
        <v>17</v>
      </c>
      <c r="H3" s="1" t="s">
        <v>11</v>
      </c>
      <c r="I3" s="1" t="s">
        <v>0</v>
      </c>
      <c r="J3" s="1" t="s">
        <v>12</v>
      </c>
      <c r="K3" s="1" t="s">
        <v>1</v>
      </c>
      <c r="L3" s="1" t="s">
        <v>16</v>
      </c>
      <c r="M3" s="1" t="s">
        <v>18</v>
      </c>
    </row>
    <row r="4" spans="2:13" x14ac:dyDescent="0.25">
      <c r="C4" s="3">
        <v>45934</v>
      </c>
      <c r="D4" s="1" t="s">
        <v>35</v>
      </c>
      <c r="E4" s="2">
        <v>9402300</v>
      </c>
      <c r="F4" s="2">
        <v>752184</v>
      </c>
      <c r="G4" s="2">
        <f>SUM(E4:F4)</f>
        <v>10154484</v>
      </c>
      <c r="H4" s="1"/>
      <c r="I4" s="3">
        <v>45934</v>
      </c>
      <c r="J4" s="1" t="s">
        <v>131</v>
      </c>
      <c r="K4" s="2">
        <v>20800</v>
      </c>
      <c r="L4" s="2">
        <v>2080</v>
      </c>
      <c r="M4" s="2">
        <f>SUM(K4:L4)</f>
        <v>22880</v>
      </c>
    </row>
    <row r="5" spans="2:13" x14ac:dyDescent="0.25">
      <c r="C5" s="3">
        <v>45934</v>
      </c>
      <c r="D5" s="1" t="s">
        <v>346</v>
      </c>
      <c r="E5" s="2">
        <v>4629630</v>
      </c>
      <c r="F5" s="2">
        <v>370370</v>
      </c>
      <c r="G5" s="2">
        <f t="shared" ref="G5:G28" si="0">SUM(E5:F5)</f>
        <v>5000000</v>
      </c>
      <c r="I5" s="3">
        <v>45932</v>
      </c>
      <c r="J5" s="1" t="s">
        <v>55</v>
      </c>
      <c r="K5" s="2">
        <v>13912536</v>
      </c>
      <c r="L5" s="2">
        <v>1113003</v>
      </c>
      <c r="M5" s="2">
        <f t="shared" ref="M5:M11" si="1">SUM(K5:L5)</f>
        <v>15025539</v>
      </c>
    </row>
    <row r="6" spans="2:13" x14ac:dyDescent="0.25">
      <c r="C6" s="3">
        <v>45934</v>
      </c>
      <c r="D6" s="1" t="s">
        <v>347</v>
      </c>
      <c r="E6" s="2">
        <v>277778</v>
      </c>
      <c r="F6" s="2">
        <v>22222</v>
      </c>
      <c r="G6" s="2">
        <f t="shared" si="0"/>
        <v>300000</v>
      </c>
      <c r="I6" s="3">
        <v>45936</v>
      </c>
      <c r="J6" s="1" t="s">
        <v>349</v>
      </c>
      <c r="K6" s="2">
        <v>1500000</v>
      </c>
      <c r="L6" s="2">
        <v>120000</v>
      </c>
      <c r="M6" s="2">
        <f t="shared" si="1"/>
        <v>1620000</v>
      </c>
    </row>
    <row r="7" spans="2:13" x14ac:dyDescent="0.25">
      <c r="C7" s="3">
        <v>45937</v>
      </c>
      <c r="D7" s="1" t="s">
        <v>348</v>
      </c>
      <c r="E7" s="2">
        <v>5555556</v>
      </c>
      <c r="F7" s="2">
        <v>444444</v>
      </c>
      <c r="G7" s="2">
        <f t="shared" si="0"/>
        <v>6000000</v>
      </c>
      <c r="I7" s="3">
        <v>45941</v>
      </c>
      <c r="J7" s="1" t="s">
        <v>79</v>
      </c>
      <c r="K7" s="2">
        <v>858335</v>
      </c>
      <c r="L7" s="2">
        <v>46738</v>
      </c>
      <c r="M7" s="2">
        <f t="shared" si="1"/>
        <v>905073</v>
      </c>
    </row>
    <row r="8" spans="2:13" x14ac:dyDescent="0.25">
      <c r="C8" s="3">
        <v>45941</v>
      </c>
      <c r="D8" s="1" t="s">
        <v>351</v>
      </c>
      <c r="E8" s="2">
        <v>1018519</v>
      </c>
      <c r="F8" s="2">
        <v>81481</v>
      </c>
      <c r="G8" s="2">
        <f t="shared" si="0"/>
        <v>1100000</v>
      </c>
      <c r="I8" s="3">
        <v>45951</v>
      </c>
      <c r="J8" s="1" t="s">
        <v>61</v>
      </c>
      <c r="K8" s="2">
        <v>240909</v>
      </c>
      <c r="L8" s="2">
        <v>19273</v>
      </c>
      <c r="M8" s="2">
        <f t="shared" si="1"/>
        <v>260182</v>
      </c>
    </row>
    <row r="9" spans="2:13" x14ac:dyDescent="0.25">
      <c r="C9" s="3">
        <v>45957</v>
      </c>
      <c r="D9" s="1" t="s">
        <v>352</v>
      </c>
      <c r="E9" s="2">
        <v>833333</v>
      </c>
      <c r="F9" s="2">
        <v>66667</v>
      </c>
      <c r="G9" s="2">
        <f t="shared" si="0"/>
        <v>900000</v>
      </c>
      <c r="I9" s="3">
        <v>45961</v>
      </c>
      <c r="J9" s="1" t="s">
        <v>40</v>
      </c>
      <c r="K9" s="2">
        <v>510455</v>
      </c>
      <c r="L9" s="2">
        <v>51046</v>
      </c>
      <c r="M9" s="2">
        <f t="shared" si="1"/>
        <v>561501</v>
      </c>
    </row>
    <row r="10" spans="2:13" x14ac:dyDescent="0.25">
      <c r="C10" s="3"/>
      <c r="E10" s="2"/>
      <c r="F10" s="2"/>
      <c r="G10" s="2">
        <f t="shared" si="0"/>
        <v>0</v>
      </c>
      <c r="I10" s="3"/>
      <c r="J10" s="1"/>
      <c r="K10" s="2"/>
      <c r="L10" s="2"/>
      <c r="M10" s="2">
        <f t="shared" si="1"/>
        <v>0</v>
      </c>
    </row>
    <row r="11" spans="2:13" x14ac:dyDescent="0.25">
      <c r="C11" s="3"/>
      <c r="E11" s="2"/>
      <c r="F11" s="2"/>
      <c r="G11" s="2">
        <f t="shared" si="0"/>
        <v>0</v>
      </c>
      <c r="I11" s="3"/>
      <c r="J11" s="1"/>
      <c r="K11" s="2"/>
      <c r="L11" s="2"/>
      <c r="M11" s="2">
        <f t="shared" si="1"/>
        <v>0</v>
      </c>
    </row>
    <row r="12" spans="2:13" x14ac:dyDescent="0.25">
      <c r="C12" s="3"/>
      <c r="E12" s="2"/>
      <c r="F12" s="2"/>
      <c r="G12" s="2">
        <f t="shared" si="0"/>
        <v>0</v>
      </c>
      <c r="I12" s="3"/>
      <c r="J12" s="1"/>
      <c r="K12" s="2"/>
      <c r="L12" s="2"/>
      <c r="M12" s="2"/>
    </row>
    <row r="13" spans="2:13" x14ac:dyDescent="0.25">
      <c r="C13" s="3"/>
      <c r="E13" s="2"/>
      <c r="F13" s="2"/>
      <c r="G13" s="2">
        <f t="shared" si="0"/>
        <v>0</v>
      </c>
      <c r="I13" s="3"/>
      <c r="J13" s="1"/>
      <c r="K13" s="2"/>
      <c r="L13" s="2"/>
      <c r="M13" s="2"/>
    </row>
    <row r="14" spans="2:13" x14ac:dyDescent="0.25">
      <c r="C14" s="3"/>
      <c r="E14" s="2"/>
      <c r="F14" s="2"/>
      <c r="G14" s="2">
        <f t="shared" si="0"/>
        <v>0</v>
      </c>
      <c r="I14" s="3"/>
      <c r="J14" s="1"/>
      <c r="K14" s="2"/>
      <c r="L14" s="2"/>
      <c r="M14" s="2"/>
    </row>
    <row r="15" spans="2:13" x14ac:dyDescent="0.25">
      <c r="C15" s="3"/>
      <c r="E15" s="2"/>
      <c r="F15" s="2"/>
      <c r="G15" s="2">
        <f t="shared" si="0"/>
        <v>0</v>
      </c>
      <c r="I15" s="3"/>
      <c r="J15" s="1"/>
      <c r="K15" s="2"/>
      <c r="L15" s="2"/>
      <c r="M15" s="2"/>
    </row>
    <row r="16" spans="2:13" x14ac:dyDescent="0.25">
      <c r="C16" s="3"/>
      <c r="E16" s="2"/>
      <c r="F16" s="2"/>
      <c r="G16" s="2">
        <f t="shared" si="0"/>
        <v>0</v>
      </c>
      <c r="I16" s="1"/>
      <c r="J16" s="1"/>
      <c r="K16" s="1"/>
      <c r="L16" s="1"/>
      <c r="M16" s="2"/>
    </row>
    <row r="17" spans="3:13" x14ac:dyDescent="0.25">
      <c r="C17" s="3"/>
      <c r="E17" s="2"/>
      <c r="F17" s="2"/>
      <c r="G17" s="2">
        <f t="shared" si="0"/>
        <v>0</v>
      </c>
      <c r="I17" s="1"/>
      <c r="J17" s="1"/>
      <c r="K17" s="1"/>
      <c r="L17" s="1"/>
      <c r="M17" s="2"/>
    </row>
    <row r="18" spans="3:13" x14ac:dyDescent="0.25">
      <c r="C18" s="3"/>
      <c r="E18" s="2"/>
      <c r="F18" s="2"/>
      <c r="G18" s="2">
        <f t="shared" si="0"/>
        <v>0</v>
      </c>
      <c r="I18" s="1"/>
      <c r="J18" s="1"/>
      <c r="K18" s="1"/>
      <c r="L18" s="1"/>
      <c r="M18" s="2"/>
    </row>
    <row r="19" spans="3:13" x14ac:dyDescent="0.25">
      <c r="C19" s="3"/>
      <c r="E19" s="2"/>
      <c r="F19" s="2"/>
      <c r="G19" s="2">
        <f t="shared" si="0"/>
        <v>0</v>
      </c>
      <c r="I19" s="1"/>
      <c r="J19" s="1"/>
      <c r="K19" s="1"/>
      <c r="L19" s="1"/>
      <c r="M19" s="2"/>
    </row>
    <row r="20" spans="3:13" x14ac:dyDescent="0.25">
      <c r="C20" s="3"/>
      <c r="E20" s="2"/>
      <c r="F20" s="2"/>
      <c r="G20" s="2">
        <f t="shared" si="0"/>
        <v>0</v>
      </c>
      <c r="I20" s="1"/>
      <c r="J20" s="1"/>
      <c r="K20" s="1"/>
      <c r="L20" s="1"/>
      <c r="M20" s="2"/>
    </row>
    <row r="21" spans="3:13" x14ac:dyDescent="0.25">
      <c r="C21" s="3"/>
      <c r="E21" s="2"/>
      <c r="F21" s="2"/>
      <c r="G21" s="2">
        <f t="shared" si="0"/>
        <v>0</v>
      </c>
      <c r="I21" s="1"/>
      <c r="J21" s="1"/>
      <c r="K21" s="1"/>
      <c r="L21" s="1"/>
      <c r="M21" s="2"/>
    </row>
    <row r="22" spans="3:13" x14ac:dyDescent="0.25">
      <c r="C22" s="3"/>
      <c r="E22" s="2"/>
      <c r="F22" s="2"/>
      <c r="G22" s="2">
        <f t="shared" si="0"/>
        <v>0</v>
      </c>
      <c r="M22" s="2"/>
    </row>
    <row r="23" spans="3:13" x14ac:dyDescent="0.25">
      <c r="C23" s="3"/>
      <c r="E23" s="2"/>
      <c r="F23" s="2"/>
      <c r="G23" s="2">
        <f t="shared" si="0"/>
        <v>0</v>
      </c>
      <c r="M23" s="2"/>
    </row>
    <row r="24" spans="3:13" x14ac:dyDescent="0.25">
      <c r="C24" s="3"/>
      <c r="E24" s="2"/>
      <c r="F24" s="2"/>
      <c r="G24" s="2">
        <f t="shared" si="0"/>
        <v>0</v>
      </c>
      <c r="M24" s="2"/>
    </row>
    <row r="25" spans="3:13" x14ac:dyDescent="0.25">
      <c r="C25" s="3"/>
      <c r="E25" s="2"/>
      <c r="F25" s="2"/>
      <c r="G25" s="2">
        <f t="shared" si="0"/>
        <v>0</v>
      </c>
      <c r="M25" s="2"/>
    </row>
    <row r="26" spans="3:13" x14ac:dyDescent="0.25">
      <c r="C26" s="3"/>
      <c r="E26" s="2"/>
      <c r="F26" s="2"/>
      <c r="G26" s="2">
        <f t="shared" si="0"/>
        <v>0</v>
      </c>
    </row>
    <row r="27" spans="3:13" x14ac:dyDescent="0.25">
      <c r="C27" s="3"/>
      <c r="E27" s="2"/>
      <c r="F27" s="2"/>
      <c r="G27" s="2">
        <f t="shared" si="0"/>
        <v>0</v>
      </c>
    </row>
    <row r="28" spans="3:13" x14ac:dyDescent="0.25">
      <c r="C28" s="3"/>
      <c r="D28" s="2"/>
      <c r="E28" s="2"/>
      <c r="F28" s="2"/>
      <c r="G28" s="2">
        <f t="shared" si="0"/>
        <v>0</v>
      </c>
    </row>
    <row r="29" spans="3:13" x14ac:dyDescent="0.25">
      <c r="D29" s="1" t="s">
        <v>8</v>
      </c>
      <c r="E29" s="2">
        <f>SUM(E4:E28)</f>
        <v>21717116</v>
      </c>
      <c r="F29" s="2">
        <f>SUM(F4:F28)</f>
        <v>1737368</v>
      </c>
      <c r="G29" s="2">
        <f>SUM(G4:G28)</f>
        <v>23454484</v>
      </c>
      <c r="I29" s="1"/>
      <c r="J29" s="1" t="s">
        <v>8</v>
      </c>
      <c r="K29" s="2">
        <f>SUM(K4:K26)</f>
        <v>17043035</v>
      </c>
      <c r="L29" s="2">
        <f>SUM(L4:L26)</f>
        <v>1352140</v>
      </c>
      <c r="M29" s="2">
        <f>SUM(M4:M26)</f>
        <v>18395175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29"/>
  <sheetViews>
    <sheetView workbookViewId="0">
      <selection activeCell="N20" sqref="N20"/>
    </sheetView>
  </sheetViews>
  <sheetFormatPr defaultRowHeight="15" x14ac:dyDescent="0.25"/>
  <cols>
    <col min="2" max="2" width="16.85546875" customWidth="1"/>
    <col min="3" max="3" width="10" style="1" customWidth="1"/>
    <col min="4" max="4" width="43.7109375" style="1" bestFit="1" customWidth="1"/>
    <col min="5" max="5" width="12.42578125" style="1" customWidth="1"/>
    <col min="6" max="6" width="10.85546875" style="1" customWidth="1"/>
    <col min="7" max="7" width="11.5703125" style="1" customWidth="1"/>
    <col min="8" max="8" width="22.5703125" customWidth="1"/>
    <col min="10" max="10" width="22.85546875" customWidth="1"/>
    <col min="11" max="11" width="13.140625" customWidth="1"/>
    <col min="12" max="12" width="10.7109375" customWidth="1"/>
    <col min="13" max="13" width="12.7109375" customWidth="1"/>
  </cols>
  <sheetData>
    <row r="3" spans="2:13" x14ac:dyDescent="0.25">
      <c r="B3" s="1" t="s">
        <v>9</v>
      </c>
      <c r="C3" s="1" t="s">
        <v>0</v>
      </c>
      <c r="D3" s="1" t="s">
        <v>10</v>
      </c>
      <c r="E3" s="1" t="s">
        <v>2</v>
      </c>
      <c r="F3" s="1" t="s">
        <v>16</v>
      </c>
      <c r="G3" s="1" t="s">
        <v>17</v>
      </c>
      <c r="H3" s="1" t="s">
        <v>11</v>
      </c>
      <c r="I3" s="1" t="s">
        <v>0</v>
      </c>
      <c r="J3" s="1" t="s">
        <v>12</v>
      </c>
      <c r="K3" s="1" t="s">
        <v>1</v>
      </c>
      <c r="L3" s="1" t="s">
        <v>16</v>
      </c>
      <c r="M3" s="1" t="s">
        <v>18</v>
      </c>
    </row>
    <row r="4" spans="2:13" x14ac:dyDescent="0.25">
      <c r="C4" s="3">
        <v>45963</v>
      </c>
      <c r="D4" s="1" t="s">
        <v>7</v>
      </c>
      <c r="E4" s="2">
        <v>9028600</v>
      </c>
      <c r="F4" s="2">
        <v>722288</v>
      </c>
      <c r="G4" s="2">
        <f>SUM(E4:F4)</f>
        <v>9750888</v>
      </c>
      <c r="H4" s="1"/>
      <c r="I4" s="3">
        <v>45963</v>
      </c>
      <c r="J4" s="1" t="s">
        <v>55</v>
      </c>
      <c r="K4" s="2">
        <v>8278894</v>
      </c>
      <c r="L4" s="2">
        <v>662312</v>
      </c>
      <c r="M4" s="2">
        <f>SUM(K4:L4)</f>
        <v>8941206</v>
      </c>
    </row>
    <row r="5" spans="2:13" x14ac:dyDescent="0.25">
      <c r="C5" s="3">
        <v>45963</v>
      </c>
      <c r="D5" s="1" t="s">
        <v>353</v>
      </c>
      <c r="E5" s="2">
        <v>277778</v>
      </c>
      <c r="F5" s="2">
        <v>22222</v>
      </c>
      <c r="G5" s="2">
        <f t="shared" ref="G5:G28" si="0">SUM(E5:F5)</f>
        <v>300000</v>
      </c>
      <c r="I5" s="3">
        <v>45965</v>
      </c>
      <c r="J5" s="1" t="s">
        <v>160</v>
      </c>
      <c r="K5" s="2">
        <v>20371</v>
      </c>
      <c r="L5" s="2">
        <v>2037</v>
      </c>
      <c r="M5" s="2">
        <f t="shared" ref="M5:M11" si="1">SUM(K5:L5)</f>
        <v>22408</v>
      </c>
    </row>
    <row r="6" spans="2:13" x14ac:dyDescent="0.25">
      <c r="C6" s="3">
        <v>45971</v>
      </c>
      <c r="D6" s="1" t="s">
        <v>354</v>
      </c>
      <c r="E6" s="2">
        <v>4629630</v>
      </c>
      <c r="F6" s="2">
        <v>370370</v>
      </c>
      <c r="G6" s="2">
        <f t="shared" si="0"/>
        <v>5000000</v>
      </c>
      <c r="I6" s="3">
        <v>45972</v>
      </c>
      <c r="J6" s="1" t="s">
        <v>79</v>
      </c>
      <c r="K6" s="2">
        <v>635168</v>
      </c>
      <c r="L6" s="2">
        <v>34586</v>
      </c>
      <c r="M6" s="2">
        <f t="shared" si="1"/>
        <v>669754</v>
      </c>
    </row>
    <row r="7" spans="2:13" x14ac:dyDescent="0.25">
      <c r="C7" s="3">
        <v>45981</v>
      </c>
      <c r="D7" s="1" t="s">
        <v>355</v>
      </c>
      <c r="E7" s="2">
        <v>1018519</v>
      </c>
      <c r="F7" s="2">
        <v>81481</v>
      </c>
      <c r="G7" s="2">
        <f t="shared" si="0"/>
        <v>1100000</v>
      </c>
      <c r="I7" s="3">
        <v>45973</v>
      </c>
      <c r="J7" s="1" t="s">
        <v>61</v>
      </c>
      <c r="K7" s="2">
        <v>240909</v>
      </c>
      <c r="L7" s="2">
        <v>19273</v>
      </c>
      <c r="M7" s="2">
        <f t="shared" si="1"/>
        <v>260182</v>
      </c>
    </row>
    <row r="8" spans="2:13" x14ac:dyDescent="0.25">
      <c r="C8" s="3">
        <v>45984</v>
      </c>
      <c r="D8" s="1" t="s">
        <v>356</v>
      </c>
      <c r="E8" s="2">
        <v>1283333</v>
      </c>
      <c r="F8" s="2">
        <v>102667</v>
      </c>
      <c r="G8" s="2">
        <f t="shared" si="0"/>
        <v>1386000</v>
      </c>
      <c r="I8" s="3">
        <v>45978</v>
      </c>
      <c r="J8" s="1" t="s">
        <v>359</v>
      </c>
      <c r="K8" s="2">
        <v>9000000</v>
      </c>
      <c r="L8" s="2">
        <v>900000</v>
      </c>
      <c r="M8" s="2">
        <f t="shared" si="1"/>
        <v>9900000</v>
      </c>
    </row>
    <row r="9" spans="2:13" x14ac:dyDescent="0.25">
      <c r="C9" s="3"/>
      <c r="E9" s="2"/>
      <c r="F9" s="2"/>
      <c r="G9" s="2">
        <f t="shared" si="0"/>
        <v>0</v>
      </c>
      <c r="I9" s="3">
        <v>45991</v>
      </c>
      <c r="J9" s="1" t="s">
        <v>50</v>
      </c>
      <c r="K9" s="2">
        <v>510455</v>
      </c>
      <c r="L9" s="2">
        <v>51046</v>
      </c>
      <c r="M9" s="2">
        <f t="shared" si="1"/>
        <v>561501</v>
      </c>
    </row>
    <row r="10" spans="2:13" x14ac:dyDescent="0.25">
      <c r="C10" s="3"/>
      <c r="E10" s="2"/>
      <c r="F10" s="2"/>
      <c r="G10" s="2">
        <f t="shared" si="0"/>
        <v>0</v>
      </c>
      <c r="I10" s="3"/>
      <c r="J10" s="1"/>
      <c r="K10" s="2"/>
      <c r="L10" s="2"/>
      <c r="M10" s="2">
        <f t="shared" si="1"/>
        <v>0</v>
      </c>
    </row>
    <row r="11" spans="2:13" x14ac:dyDescent="0.25">
      <c r="C11" s="3"/>
      <c r="E11" s="2"/>
      <c r="F11" s="2"/>
      <c r="G11" s="2">
        <f t="shared" si="0"/>
        <v>0</v>
      </c>
      <c r="I11" s="3"/>
      <c r="J11" s="1"/>
      <c r="K11" s="2"/>
      <c r="L11" s="2"/>
      <c r="M11" s="2">
        <f t="shared" si="1"/>
        <v>0</v>
      </c>
    </row>
    <row r="12" spans="2:13" x14ac:dyDescent="0.25">
      <c r="C12" s="3"/>
      <c r="E12" s="2"/>
      <c r="F12" s="2"/>
      <c r="G12" s="2">
        <f t="shared" si="0"/>
        <v>0</v>
      </c>
      <c r="I12" s="3"/>
      <c r="J12" s="1"/>
      <c r="K12" s="2"/>
      <c r="L12" s="2"/>
      <c r="M12" s="2"/>
    </row>
    <row r="13" spans="2:13" x14ac:dyDescent="0.25">
      <c r="C13" s="3"/>
      <c r="E13" s="2"/>
      <c r="F13" s="2"/>
      <c r="G13" s="2">
        <f t="shared" si="0"/>
        <v>0</v>
      </c>
      <c r="I13" s="3"/>
      <c r="J13" s="1"/>
      <c r="K13" s="2"/>
      <c r="L13" s="2"/>
      <c r="M13" s="2"/>
    </row>
    <row r="14" spans="2:13" x14ac:dyDescent="0.25">
      <c r="C14" s="3"/>
      <c r="E14" s="2"/>
      <c r="F14" s="2"/>
      <c r="G14" s="2">
        <f t="shared" si="0"/>
        <v>0</v>
      </c>
      <c r="I14" s="3"/>
      <c r="J14" s="1"/>
      <c r="K14" s="2"/>
      <c r="L14" s="2"/>
      <c r="M14" s="2"/>
    </row>
    <row r="15" spans="2:13" x14ac:dyDescent="0.25">
      <c r="C15" s="3"/>
      <c r="E15" s="2"/>
      <c r="F15" s="2"/>
      <c r="G15" s="2">
        <f t="shared" si="0"/>
        <v>0</v>
      </c>
      <c r="I15" s="3"/>
      <c r="J15" s="1"/>
      <c r="K15" s="2"/>
      <c r="L15" s="2"/>
      <c r="M15" s="2"/>
    </row>
    <row r="16" spans="2:13" x14ac:dyDescent="0.25">
      <c r="C16" s="3"/>
      <c r="E16" s="2"/>
      <c r="F16" s="2"/>
      <c r="G16" s="2">
        <f t="shared" si="0"/>
        <v>0</v>
      </c>
      <c r="I16" s="1"/>
      <c r="J16" s="1"/>
      <c r="K16" s="1"/>
      <c r="L16" s="1"/>
      <c r="M16" s="2"/>
    </row>
    <row r="17" spans="3:13" x14ac:dyDescent="0.25">
      <c r="C17" s="3"/>
      <c r="E17" s="2"/>
      <c r="F17" s="2"/>
      <c r="G17" s="2">
        <f t="shared" si="0"/>
        <v>0</v>
      </c>
      <c r="I17" s="1"/>
      <c r="J17" s="1"/>
      <c r="K17" s="1"/>
      <c r="L17" s="1"/>
      <c r="M17" s="2"/>
    </row>
    <row r="18" spans="3:13" x14ac:dyDescent="0.25">
      <c r="C18" s="3"/>
      <c r="E18" s="2"/>
      <c r="F18" s="2"/>
      <c r="G18" s="2">
        <f t="shared" si="0"/>
        <v>0</v>
      </c>
      <c r="I18" s="1"/>
      <c r="J18" s="1"/>
      <c r="K18" s="1"/>
      <c r="L18" s="1"/>
      <c r="M18" s="2"/>
    </row>
    <row r="19" spans="3:13" x14ac:dyDescent="0.25">
      <c r="C19" s="3"/>
      <c r="E19" s="2"/>
      <c r="F19" s="2"/>
      <c r="G19" s="2">
        <f t="shared" si="0"/>
        <v>0</v>
      </c>
      <c r="I19" s="1"/>
      <c r="J19" s="1"/>
      <c r="K19" s="1"/>
      <c r="L19" s="1"/>
      <c r="M19" s="2"/>
    </row>
    <row r="20" spans="3:13" x14ac:dyDescent="0.25">
      <c r="C20" s="3"/>
      <c r="E20" s="2"/>
      <c r="F20" s="2"/>
      <c r="G20" s="2">
        <f t="shared" si="0"/>
        <v>0</v>
      </c>
      <c r="I20" s="1"/>
      <c r="J20" s="1"/>
      <c r="K20" s="1"/>
      <c r="L20" s="1"/>
      <c r="M20" s="2"/>
    </row>
    <row r="21" spans="3:13" x14ac:dyDescent="0.25">
      <c r="C21" s="3"/>
      <c r="E21" s="2"/>
      <c r="F21" s="2"/>
      <c r="G21" s="2">
        <f t="shared" si="0"/>
        <v>0</v>
      </c>
      <c r="I21" s="1"/>
      <c r="J21" s="1"/>
      <c r="K21" s="1"/>
      <c r="L21" s="1"/>
      <c r="M21" s="2"/>
    </row>
    <row r="22" spans="3:13" x14ac:dyDescent="0.25">
      <c r="C22" s="3"/>
      <c r="E22" s="2"/>
      <c r="F22" s="2"/>
      <c r="G22" s="2">
        <f t="shared" si="0"/>
        <v>0</v>
      </c>
      <c r="M22" s="2"/>
    </row>
    <row r="23" spans="3:13" x14ac:dyDescent="0.25">
      <c r="C23" s="3"/>
      <c r="E23" s="2"/>
      <c r="F23" s="2"/>
      <c r="G23" s="2">
        <f t="shared" si="0"/>
        <v>0</v>
      </c>
      <c r="M23" s="2"/>
    </row>
    <row r="24" spans="3:13" x14ac:dyDescent="0.25">
      <c r="C24" s="3"/>
      <c r="E24" s="2"/>
      <c r="F24" s="2"/>
      <c r="G24" s="2">
        <f t="shared" si="0"/>
        <v>0</v>
      </c>
      <c r="M24" s="2"/>
    </row>
    <row r="25" spans="3:13" x14ac:dyDescent="0.25">
      <c r="C25" s="3"/>
      <c r="E25" s="2"/>
      <c r="F25" s="2"/>
      <c r="G25" s="2">
        <f t="shared" si="0"/>
        <v>0</v>
      </c>
      <c r="M25" s="2"/>
    </row>
    <row r="26" spans="3:13" x14ac:dyDescent="0.25">
      <c r="C26" s="3"/>
      <c r="E26" s="2"/>
      <c r="F26" s="2"/>
      <c r="G26" s="2">
        <f t="shared" si="0"/>
        <v>0</v>
      </c>
    </row>
    <row r="27" spans="3:13" x14ac:dyDescent="0.25">
      <c r="C27" s="3"/>
      <c r="E27" s="2"/>
      <c r="F27" s="2"/>
      <c r="G27" s="2">
        <f t="shared" si="0"/>
        <v>0</v>
      </c>
    </row>
    <row r="28" spans="3:13" x14ac:dyDescent="0.25">
      <c r="C28" s="3"/>
      <c r="D28" s="2"/>
      <c r="E28" s="2"/>
      <c r="F28" s="2"/>
      <c r="G28" s="2">
        <f t="shared" si="0"/>
        <v>0</v>
      </c>
    </row>
    <row r="29" spans="3:13" x14ac:dyDescent="0.25">
      <c r="D29" s="1" t="s">
        <v>8</v>
      </c>
      <c r="E29" s="2">
        <f>SUM(E4:E28)</f>
        <v>16237860</v>
      </c>
      <c r="F29" s="2">
        <f>SUM(F4:F28)</f>
        <v>1299028</v>
      </c>
      <c r="G29" s="2">
        <f>SUM(G4:G28)</f>
        <v>17536888</v>
      </c>
      <c r="I29" s="1"/>
      <c r="J29" s="1" t="s">
        <v>8</v>
      </c>
      <c r="K29" s="2">
        <f>SUM(K4:K26)</f>
        <v>18685797</v>
      </c>
      <c r="L29" s="2">
        <f>SUM(L4:L26)</f>
        <v>1669254</v>
      </c>
      <c r="M29" s="2">
        <f>SUM(M4:M26)</f>
        <v>20355051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30"/>
  <sheetViews>
    <sheetView workbookViewId="0">
      <selection activeCell="J19" sqref="J19"/>
    </sheetView>
  </sheetViews>
  <sheetFormatPr defaultRowHeight="15" x14ac:dyDescent="0.25"/>
  <cols>
    <col min="2" max="2" width="16.85546875" customWidth="1"/>
    <col min="3" max="3" width="10" style="1" customWidth="1"/>
    <col min="4" max="4" width="43.7109375" style="1" bestFit="1" customWidth="1"/>
    <col min="5" max="5" width="12.42578125" style="1" customWidth="1"/>
    <col min="6" max="6" width="10.85546875" style="1" customWidth="1"/>
    <col min="7" max="7" width="11.5703125" style="1" customWidth="1"/>
    <col min="8" max="8" width="22.5703125" customWidth="1"/>
    <col min="10" max="10" width="22.85546875" customWidth="1"/>
    <col min="11" max="11" width="13.140625" customWidth="1"/>
    <col min="12" max="12" width="10.7109375" customWidth="1"/>
    <col min="13" max="13" width="12.7109375" customWidth="1"/>
  </cols>
  <sheetData>
    <row r="3" spans="2:13" x14ac:dyDescent="0.25">
      <c r="B3" s="1" t="s">
        <v>9</v>
      </c>
      <c r="C3" s="1" t="s">
        <v>0</v>
      </c>
      <c r="D3" s="1" t="s">
        <v>10</v>
      </c>
      <c r="E3" s="1" t="s">
        <v>2</v>
      </c>
      <c r="F3" s="1" t="s">
        <v>16</v>
      </c>
      <c r="G3" s="1" t="s">
        <v>17</v>
      </c>
      <c r="H3" s="1" t="s">
        <v>11</v>
      </c>
      <c r="I3" s="1" t="s">
        <v>0</v>
      </c>
      <c r="J3" s="1" t="s">
        <v>12</v>
      </c>
      <c r="K3" s="1" t="s">
        <v>1</v>
      </c>
      <c r="L3" s="1" t="s">
        <v>16</v>
      </c>
      <c r="M3" s="1" t="s">
        <v>18</v>
      </c>
    </row>
    <row r="4" spans="2:13" x14ac:dyDescent="0.25">
      <c r="C4" s="3">
        <v>45992</v>
      </c>
      <c r="D4" s="1" t="s">
        <v>7</v>
      </c>
      <c r="E4" s="2">
        <v>8418100</v>
      </c>
      <c r="F4" s="2">
        <v>673448</v>
      </c>
      <c r="G4" s="2">
        <f>SUM(E4:F4)</f>
        <v>9091548</v>
      </c>
      <c r="H4" s="1"/>
      <c r="I4" s="3">
        <v>45993</v>
      </c>
      <c r="J4" s="1" t="s">
        <v>55</v>
      </c>
      <c r="K4" s="2">
        <v>6163944</v>
      </c>
      <c r="L4" s="2">
        <v>493116</v>
      </c>
      <c r="M4" s="2">
        <f>SUM(K4:L4)</f>
        <v>6657060</v>
      </c>
    </row>
    <row r="5" spans="2:13" x14ac:dyDescent="0.25">
      <c r="C5" s="3">
        <v>45993</v>
      </c>
      <c r="D5" s="1" t="s">
        <v>357</v>
      </c>
      <c r="E5" s="2">
        <v>3472222</v>
      </c>
      <c r="F5" s="2">
        <v>277778</v>
      </c>
      <c r="G5" s="2">
        <f t="shared" ref="G5:G29" si="0">SUM(E5:F5)</f>
        <v>3750000</v>
      </c>
      <c r="I5" s="3">
        <v>45995</v>
      </c>
      <c r="J5" s="1" t="s">
        <v>160</v>
      </c>
      <c r="K5" s="2">
        <v>22389</v>
      </c>
      <c r="L5" s="2">
        <v>2239</v>
      </c>
      <c r="M5" s="2">
        <f t="shared" ref="M5:M14" si="1">SUM(K5:L5)</f>
        <v>24628</v>
      </c>
    </row>
    <row r="6" spans="2:13" x14ac:dyDescent="0.25">
      <c r="C6" s="3">
        <v>46012</v>
      </c>
      <c r="D6" s="1" t="s">
        <v>360</v>
      </c>
      <c r="E6" s="2">
        <v>277778</v>
      </c>
      <c r="F6" s="2">
        <v>22222</v>
      </c>
      <c r="G6" s="2">
        <f t="shared" si="0"/>
        <v>300000</v>
      </c>
      <c r="I6" s="3">
        <v>46001</v>
      </c>
      <c r="J6" s="1" t="s">
        <v>358</v>
      </c>
      <c r="K6" s="2">
        <v>48000000</v>
      </c>
      <c r="L6" s="2">
        <v>3840000</v>
      </c>
      <c r="M6" s="2">
        <f t="shared" si="1"/>
        <v>51840000</v>
      </c>
    </row>
    <row r="7" spans="2:13" x14ac:dyDescent="0.25">
      <c r="C7" s="3">
        <v>46012</v>
      </c>
      <c r="D7" s="1" t="s">
        <v>361</v>
      </c>
      <c r="E7" s="2">
        <v>277778</v>
      </c>
      <c r="F7" s="2">
        <v>22222</v>
      </c>
      <c r="G7" s="2">
        <f t="shared" si="0"/>
        <v>300000</v>
      </c>
      <c r="I7" s="3">
        <v>46002</v>
      </c>
      <c r="J7" s="1" t="s">
        <v>79</v>
      </c>
      <c r="K7" s="2">
        <v>618001</v>
      </c>
      <c r="L7" s="2">
        <v>33651</v>
      </c>
      <c r="M7" s="2">
        <f t="shared" si="1"/>
        <v>651652</v>
      </c>
    </row>
    <row r="8" spans="2:13" x14ac:dyDescent="0.25">
      <c r="C8" s="3">
        <v>46012</v>
      </c>
      <c r="D8" s="1" t="s">
        <v>362</v>
      </c>
      <c r="E8" s="2">
        <v>833333</v>
      </c>
      <c r="F8" s="2">
        <v>66667</v>
      </c>
      <c r="G8" s="2">
        <f t="shared" si="0"/>
        <v>900000</v>
      </c>
      <c r="I8" s="3">
        <v>46002</v>
      </c>
      <c r="J8" s="1" t="s">
        <v>61</v>
      </c>
      <c r="K8" s="2">
        <v>240909</v>
      </c>
      <c r="L8" s="2">
        <v>19273</v>
      </c>
      <c r="M8" s="2">
        <f t="shared" si="1"/>
        <v>260182</v>
      </c>
    </row>
    <row r="9" spans="2:13" x14ac:dyDescent="0.25">
      <c r="C9" s="3">
        <v>46017</v>
      </c>
      <c r="D9" s="1" t="s">
        <v>363</v>
      </c>
      <c r="E9" s="2">
        <v>2407407</v>
      </c>
      <c r="F9" s="2">
        <v>192593</v>
      </c>
      <c r="G9" s="2">
        <f t="shared" si="0"/>
        <v>2600000</v>
      </c>
      <c r="I9" s="3">
        <v>46021</v>
      </c>
      <c r="J9" s="1" t="s">
        <v>369</v>
      </c>
      <c r="K9" s="2">
        <v>814815</v>
      </c>
      <c r="L9" s="2">
        <v>65185</v>
      </c>
      <c r="M9" s="2">
        <f t="shared" si="1"/>
        <v>880000</v>
      </c>
    </row>
    <row r="10" spans="2:13" x14ac:dyDescent="0.25">
      <c r="C10" s="3">
        <v>46019</v>
      </c>
      <c r="D10" s="1" t="s">
        <v>364</v>
      </c>
      <c r="E10" s="2">
        <v>1296296</v>
      </c>
      <c r="F10" s="2">
        <v>103704</v>
      </c>
      <c r="G10" s="2">
        <f t="shared" si="0"/>
        <v>1400000</v>
      </c>
      <c r="I10" s="3">
        <v>46022</v>
      </c>
      <c r="J10" s="1" t="s">
        <v>188</v>
      </c>
      <c r="K10" s="2">
        <v>323459</v>
      </c>
      <c r="L10" s="2">
        <v>32346</v>
      </c>
      <c r="M10" s="2">
        <f t="shared" si="1"/>
        <v>355805</v>
      </c>
    </row>
    <row r="11" spans="2:13" x14ac:dyDescent="0.25">
      <c r="C11" s="3">
        <v>46021</v>
      </c>
      <c r="D11" s="1" t="s">
        <v>365</v>
      </c>
      <c r="E11" s="2">
        <v>3703704</v>
      </c>
      <c r="F11" s="2">
        <v>296296</v>
      </c>
      <c r="G11" s="2">
        <f t="shared" si="0"/>
        <v>4000000</v>
      </c>
      <c r="I11" s="3">
        <v>46386</v>
      </c>
      <c r="J11" s="1" t="s">
        <v>81</v>
      </c>
      <c r="K11" s="2">
        <v>916667</v>
      </c>
      <c r="L11" s="2">
        <v>73333</v>
      </c>
      <c r="M11" s="2">
        <f t="shared" si="1"/>
        <v>990000</v>
      </c>
    </row>
    <row r="12" spans="2:13" x14ac:dyDescent="0.25">
      <c r="C12" s="3">
        <v>46021</v>
      </c>
      <c r="D12" s="1" t="s">
        <v>366</v>
      </c>
      <c r="E12" s="2">
        <v>1666667</v>
      </c>
      <c r="F12" s="2">
        <v>133333</v>
      </c>
      <c r="G12" s="2">
        <f t="shared" si="0"/>
        <v>1800000</v>
      </c>
      <c r="I12" s="3">
        <v>46362</v>
      </c>
      <c r="J12" s="1" t="s">
        <v>388</v>
      </c>
      <c r="K12" s="2">
        <v>924000</v>
      </c>
      <c r="L12" s="2">
        <v>73920</v>
      </c>
      <c r="M12" s="2">
        <f t="shared" si="1"/>
        <v>997920</v>
      </c>
    </row>
    <row r="13" spans="2:13" x14ac:dyDescent="0.25">
      <c r="C13" s="3">
        <v>46386</v>
      </c>
      <c r="D13" s="1" t="s">
        <v>390</v>
      </c>
      <c r="E13" s="2">
        <v>833333</v>
      </c>
      <c r="F13" s="2">
        <v>66667</v>
      </c>
      <c r="G13" s="2">
        <f t="shared" si="0"/>
        <v>900000</v>
      </c>
      <c r="I13" s="3">
        <v>46387</v>
      </c>
      <c r="J13" s="1" t="s">
        <v>116</v>
      </c>
      <c r="K13" s="2">
        <v>1196909</v>
      </c>
      <c r="L13" s="2">
        <v>119691</v>
      </c>
      <c r="M13" s="2">
        <f>SUM(K13:L13)</f>
        <v>1316600</v>
      </c>
    </row>
    <row r="14" spans="2:13" x14ac:dyDescent="0.25">
      <c r="C14" s="3">
        <v>46022</v>
      </c>
      <c r="D14" s="1" t="s">
        <v>367</v>
      </c>
      <c r="E14" s="2">
        <v>1666667</v>
      </c>
      <c r="F14" s="2">
        <v>133333</v>
      </c>
      <c r="G14" s="2">
        <f t="shared" si="0"/>
        <v>1800000</v>
      </c>
    </row>
    <row r="15" spans="2:13" x14ac:dyDescent="0.25">
      <c r="C15" s="3">
        <v>46022</v>
      </c>
      <c r="D15" s="1" t="s">
        <v>368</v>
      </c>
      <c r="E15" s="2">
        <v>1111111</v>
      </c>
      <c r="F15" s="2">
        <v>88889</v>
      </c>
      <c r="G15" s="2">
        <f t="shared" si="0"/>
        <v>1200000</v>
      </c>
      <c r="I15" s="3"/>
      <c r="J15" s="1"/>
      <c r="K15" s="2"/>
      <c r="L15" s="2"/>
      <c r="M15" s="2"/>
    </row>
    <row r="16" spans="2:13" x14ac:dyDescent="0.25">
      <c r="C16" s="3"/>
      <c r="E16" s="2"/>
      <c r="F16" s="2"/>
      <c r="G16" s="2">
        <f t="shared" si="0"/>
        <v>0</v>
      </c>
      <c r="I16" s="3"/>
      <c r="J16" s="1"/>
      <c r="K16" s="2"/>
      <c r="L16" s="2"/>
      <c r="M16" s="2"/>
    </row>
    <row r="17" spans="3:13" x14ac:dyDescent="0.25">
      <c r="C17" s="3"/>
      <c r="E17" s="2"/>
      <c r="F17" s="2"/>
      <c r="G17" s="2">
        <f t="shared" si="0"/>
        <v>0</v>
      </c>
      <c r="I17" s="1"/>
      <c r="J17" s="1"/>
      <c r="K17" s="1"/>
      <c r="L17" s="1"/>
      <c r="M17" s="2"/>
    </row>
    <row r="18" spans="3:13" x14ac:dyDescent="0.25">
      <c r="C18" s="3"/>
      <c r="E18" s="2"/>
      <c r="F18" s="2"/>
      <c r="G18" s="2">
        <f t="shared" si="0"/>
        <v>0</v>
      </c>
      <c r="I18" s="1"/>
      <c r="J18" s="1"/>
      <c r="K18" s="1"/>
      <c r="L18" s="1"/>
      <c r="M18" s="2"/>
    </row>
    <row r="19" spans="3:13" x14ac:dyDescent="0.25">
      <c r="C19" s="3"/>
      <c r="E19" s="2"/>
      <c r="F19" s="2"/>
      <c r="G19" s="2">
        <f t="shared" si="0"/>
        <v>0</v>
      </c>
      <c r="I19" s="1"/>
      <c r="J19" s="1"/>
      <c r="K19" s="1"/>
      <c r="L19" s="1"/>
      <c r="M19" s="2"/>
    </row>
    <row r="20" spans="3:13" x14ac:dyDescent="0.25">
      <c r="C20" s="3"/>
      <c r="E20" s="2"/>
      <c r="F20" s="2"/>
      <c r="G20" s="2">
        <f t="shared" si="0"/>
        <v>0</v>
      </c>
      <c r="I20" s="1"/>
      <c r="J20" s="1"/>
      <c r="K20" s="1"/>
      <c r="L20" s="1"/>
      <c r="M20" s="2"/>
    </row>
    <row r="21" spans="3:13" x14ac:dyDescent="0.25">
      <c r="C21" s="3"/>
      <c r="E21" s="2"/>
      <c r="F21" s="2"/>
      <c r="G21" s="2">
        <f t="shared" si="0"/>
        <v>0</v>
      </c>
      <c r="I21" s="1"/>
      <c r="J21" s="1"/>
      <c r="K21" s="1"/>
      <c r="L21" s="1"/>
      <c r="M21" s="2"/>
    </row>
    <row r="22" spans="3:13" x14ac:dyDescent="0.25">
      <c r="C22" s="3"/>
      <c r="E22" s="2"/>
      <c r="F22" s="2"/>
      <c r="G22" s="2">
        <f t="shared" si="0"/>
        <v>0</v>
      </c>
      <c r="I22" s="1"/>
      <c r="J22" s="1"/>
      <c r="K22" s="1"/>
      <c r="L22" s="1"/>
      <c r="M22" s="2"/>
    </row>
    <row r="23" spans="3:13" x14ac:dyDescent="0.25">
      <c r="C23" s="3"/>
      <c r="E23" s="2"/>
      <c r="F23" s="2"/>
      <c r="G23" s="2">
        <f t="shared" si="0"/>
        <v>0</v>
      </c>
      <c r="M23" s="2"/>
    </row>
    <row r="24" spans="3:13" x14ac:dyDescent="0.25">
      <c r="C24" s="3"/>
      <c r="E24" s="2"/>
      <c r="F24" s="2"/>
      <c r="G24" s="2">
        <f t="shared" si="0"/>
        <v>0</v>
      </c>
      <c r="M24" s="2"/>
    </row>
    <row r="25" spans="3:13" x14ac:dyDescent="0.25">
      <c r="C25" s="3"/>
      <c r="E25" s="2"/>
      <c r="F25" s="2"/>
      <c r="G25" s="2">
        <f t="shared" si="0"/>
        <v>0</v>
      </c>
      <c r="M25" s="2"/>
    </row>
    <row r="26" spans="3:13" x14ac:dyDescent="0.25">
      <c r="C26" s="3"/>
      <c r="E26" s="2"/>
      <c r="F26" s="2"/>
      <c r="G26" s="2">
        <f t="shared" si="0"/>
        <v>0</v>
      </c>
      <c r="M26" s="2"/>
    </row>
    <row r="27" spans="3:13" x14ac:dyDescent="0.25">
      <c r="C27" s="3"/>
      <c r="E27" s="2"/>
      <c r="F27" s="2"/>
      <c r="G27" s="2">
        <f t="shared" si="0"/>
        <v>0</v>
      </c>
    </row>
    <row r="28" spans="3:13" x14ac:dyDescent="0.25">
      <c r="C28" s="3"/>
      <c r="E28" s="2"/>
      <c r="F28" s="2"/>
      <c r="G28" s="2">
        <f t="shared" si="0"/>
        <v>0</v>
      </c>
    </row>
    <row r="29" spans="3:13" x14ac:dyDescent="0.25">
      <c r="C29" s="3"/>
      <c r="D29" s="2"/>
      <c r="E29" s="2"/>
      <c r="F29" s="2"/>
      <c r="G29" s="2">
        <f t="shared" si="0"/>
        <v>0</v>
      </c>
    </row>
    <row r="30" spans="3:13" x14ac:dyDescent="0.25">
      <c r="D30" s="1" t="s">
        <v>8</v>
      </c>
      <c r="E30" s="2">
        <f>SUM(E4:E29)</f>
        <v>25964396</v>
      </c>
      <c r="F30" s="2">
        <f>SUM(F4:F29)</f>
        <v>2077152</v>
      </c>
      <c r="G30" s="2">
        <f>SUM(G4:G29)</f>
        <v>28041548</v>
      </c>
      <c r="I30" s="1"/>
      <c r="J30" s="1" t="s">
        <v>8</v>
      </c>
      <c r="K30" s="2">
        <f>SUM(K4:K27)</f>
        <v>59221093</v>
      </c>
      <c r="L30" s="2">
        <f>SUM(L4:L27)</f>
        <v>4752754</v>
      </c>
      <c r="M30" s="2">
        <f>SUM(M4:M27)</f>
        <v>63973847</v>
      </c>
    </row>
  </sheetData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36"/>
  <sheetViews>
    <sheetView tabSelected="1" workbookViewId="0">
      <selection activeCell="L21" sqref="L21"/>
    </sheetView>
  </sheetViews>
  <sheetFormatPr defaultRowHeight="15" x14ac:dyDescent="0.25"/>
  <cols>
    <col min="2" max="2" width="16.85546875" customWidth="1"/>
    <col min="3" max="3" width="10" style="1" customWidth="1"/>
    <col min="4" max="4" width="43.7109375" style="1" bestFit="1" customWidth="1"/>
    <col min="5" max="5" width="12.42578125" style="1" customWidth="1"/>
    <col min="6" max="6" width="10.85546875" style="1" customWidth="1"/>
    <col min="7" max="7" width="11.5703125" style="1" customWidth="1"/>
    <col min="8" max="8" width="22.5703125" customWidth="1"/>
    <col min="10" max="10" width="22.85546875" customWidth="1"/>
    <col min="11" max="11" width="13.140625" customWidth="1"/>
    <col min="12" max="12" width="10.7109375" customWidth="1"/>
    <col min="13" max="13" width="12.7109375" customWidth="1"/>
  </cols>
  <sheetData>
    <row r="3" spans="2:13" x14ac:dyDescent="0.25">
      <c r="B3" s="1" t="s">
        <v>9</v>
      </c>
      <c r="C3" s="1" t="s">
        <v>0</v>
      </c>
      <c r="D3" s="1" t="s">
        <v>10</v>
      </c>
      <c r="E3" s="1" t="s">
        <v>2</v>
      </c>
      <c r="F3" s="1" t="s">
        <v>16</v>
      </c>
      <c r="G3" s="1" t="s">
        <v>17</v>
      </c>
      <c r="H3" s="1" t="s">
        <v>11</v>
      </c>
      <c r="I3" s="1" t="s">
        <v>0</v>
      </c>
      <c r="J3" s="1" t="s">
        <v>12</v>
      </c>
      <c r="K3" s="1" t="s">
        <v>1</v>
      </c>
      <c r="L3" s="1" t="s">
        <v>16</v>
      </c>
      <c r="M3" s="1" t="s">
        <v>18</v>
      </c>
    </row>
    <row r="4" spans="2:13" x14ac:dyDescent="0.25">
      <c r="C4" s="3">
        <v>46023</v>
      </c>
      <c r="D4" s="1" t="s">
        <v>7</v>
      </c>
      <c r="E4" s="2">
        <v>8865800</v>
      </c>
      <c r="F4" s="2">
        <v>709264</v>
      </c>
      <c r="G4" s="2">
        <f>SUM(E4:F4)</f>
        <v>9575064</v>
      </c>
      <c r="H4" s="1"/>
      <c r="I4" s="3">
        <v>46026</v>
      </c>
      <c r="J4" s="1" t="s">
        <v>160</v>
      </c>
      <c r="K4" s="2">
        <v>23555</v>
      </c>
      <c r="L4" s="2">
        <v>2356</v>
      </c>
      <c r="M4" s="2">
        <f>SUM(K4:L4)</f>
        <v>25911</v>
      </c>
    </row>
    <row r="5" spans="2:13" x14ac:dyDescent="0.25">
      <c r="C5" s="3">
        <v>46023</v>
      </c>
      <c r="D5" s="1" t="s">
        <v>370</v>
      </c>
      <c r="E5" s="2">
        <v>925926</v>
      </c>
      <c r="F5" s="2">
        <v>74074</v>
      </c>
      <c r="G5" s="2">
        <f t="shared" ref="G5:G35" si="0">SUM(E5:F5)</f>
        <v>1000000</v>
      </c>
      <c r="I5" s="3">
        <v>46024</v>
      </c>
      <c r="J5" s="1" t="s">
        <v>55</v>
      </c>
      <c r="K5" s="2">
        <v>9487538</v>
      </c>
      <c r="L5" s="2">
        <v>759003</v>
      </c>
      <c r="M5" s="2">
        <f t="shared" ref="M5:M11" si="1">SUM(K5:L5)</f>
        <v>10246541</v>
      </c>
    </row>
    <row r="6" spans="2:13" x14ac:dyDescent="0.25">
      <c r="C6" s="3">
        <v>46023</v>
      </c>
      <c r="D6" s="1" t="s">
        <v>371</v>
      </c>
      <c r="E6" s="2">
        <v>1388889</v>
      </c>
      <c r="F6" s="2">
        <v>111111</v>
      </c>
      <c r="G6" s="2">
        <f t="shared" si="0"/>
        <v>1500000</v>
      </c>
      <c r="I6" s="3"/>
      <c r="J6" s="1"/>
      <c r="K6" s="2"/>
      <c r="L6" s="2"/>
      <c r="M6" s="2">
        <f t="shared" si="1"/>
        <v>0</v>
      </c>
    </row>
    <row r="7" spans="2:13" x14ac:dyDescent="0.25">
      <c r="C7" s="3">
        <v>46024</v>
      </c>
      <c r="D7" s="1" t="s">
        <v>372</v>
      </c>
      <c r="E7" s="2">
        <v>1851852</v>
      </c>
      <c r="F7" s="2">
        <v>148148</v>
      </c>
      <c r="G7" s="2">
        <f t="shared" si="0"/>
        <v>2000000</v>
      </c>
      <c r="I7" s="3"/>
      <c r="J7" s="1"/>
      <c r="K7" s="2"/>
      <c r="L7" s="2"/>
      <c r="M7" s="2">
        <f t="shared" si="1"/>
        <v>0</v>
      </c>
    </row>
    <row r="8" spans="2:13" x14ac:dyDescent="0.25">
      <c r="C8" s="3">
        <v>46026</v>
      </c>
      <c r="D8" s="1" t="s">
        <v>373</v>
      </c>
      <c r="E8" s="2">
        <v>2566667</v>
      </c>
      <c r="F8" s="2">
        <v>205333</v>
      </c>
      <c r="G8" s="2">
        <f t="shared" si="0"/>
        <v>2772000</v>
      </c>
      <c r="I8" s="3"/>
      <c r="J8" s="1"/>
      <c r="K8" s="2"/>
      <c r="L8" s="2"/>
      <c r="M8" s="2">
        <f t="shared" si="1"/>
        <v>0</v>
      </c>
    </row>
    <row r="9" spans="2:13" x14ac:dyDescent="0.25">
      <c r="C9" s="3">
        <v>46026</v>
      </c>
      <c r="D9" s="1" t="s">
        <v>374</v>
      </c>
      <c r="E9" s="2">
        <v>1481481</v>
      </c>
      <c r="F9" s="2">
        <v>118519</v>
      </c>
      <c r="G9" s="2">
        <f t="shared" si="0"/>
        <v>1600000</v>
      </c>
      <c r="I9" s="3"/>
      <c r="J9" s="1"/>
      <c r="K9" s="2"/>
      <c r="L9" s="2"/>
      <c r="M9" s="2">
        <f t="shared" si="1"/>
        <v>0</v>
      </c>
    </row>
    <row r="10" spans="2:13" x14ac:dyDescent="0.25">
      <c r="C10" s="3">
        <v>46026</v>
      </c>
      <c r="D10" s="1" t="s">
        <v>375</v>
      </c>
      <c r="E10" s="2">
        <v>1111111</v>
      </c>
      <c r="F10" s="2">
        <v>88889</v>
      </c>
      <c r="G10" s="2">
        <f t="shared" si="0"/>
        <v>1200000</v>
      </c>
      <c r="I10" s="3"/>
      <c r="J10" s="1"/>
      <c r="K10" s="2"/>
      <c r="L10" s="2"/>
      <c r="M10" s="2">
        <f t="shared" si="1"/>
        <v>0</v>
      </c>
    </row>
    <row r="11" spans="2:13" x14ac:dyDescent="0.25">
      <c r="C11" s="3">
        <v>46027</v>
      </c>
      <c r="D11" s="1" t="s">
        <v>376</v>
      </c>
      <c r="E11" s="2">
        <v>648148</v>
      </c>
      <c r="F11" s="2">
        <v>51852</v>
      </c>
      <c r="G11" s="2">
        <f t="shared" si="0"/>
        <v>700000</v>
      </c>
      <c r="I11" s="3"/>
      <c r="J11" s="1"/>
      <c r="K11" s="2"/>
      <c r="L11" s="2"/>
      <c r="M11" s="2">
        <f t="shared" si="1"/>
        <v>0</v>
      </c>
    </row>
    <row r="12" spans="2:13" x14ac:dyDescent="0.25">
      <c r="C12" s="3">
        <v>46027</v>
      </c>
      <c r="D12" s="1" t="s">
        <v>377</v>
      </c>
      <c r="E12" s="2">
        <v>7205972</v>
      </c>
      <c r="F12" s="2">
        <v>576478</v>
      </c>
      <c r="G12" s="2">
        <f t="shared" si="0"/>
        <v>7782450</v>
      </c>
      <c r="I12" s="3"/>
      <c r="J12" s="1"/>
      <c r="K12" s="2"/>
      <c r="L12" s="2"/>
      <c r="M12" s="2"/>
    </row>
    <row r="13" spans="2:13" x14ac:dyDescent="0.25">
      <c r="C13" s="3">
        <v>46027</v>
      </c>
      <c r="D13" s="1" t="s">
        <v>378</v>
      </c>
      <c r="E13" s="2">
        <v>8596982</v>
      </c>
      <c r="F13" s="2">
        <v>687758</v>
      </c>
      <c r="G13" s="2">
        <f t="shared" si="0"/>
        <v>9284740</v>
      </c>
      <c r="I13" s="3"/>
      <c r="J13" s="1"/>
      <c r="K13" s="2"/>
      <c r="L13" s="2"/>
      <c r="M13" s="2"/>
    </row>
    <row r="14" spans="2:13" x14ac:dyDescent="0.25">
      <c r="C14" s="3">
        <v>46028</v>
      </c>
      <c r="D14" s="1" t="s">
        <v>379</v>
      </c>
      <c r="E14" s="2">
        <v>1111111</v>
      </c>
      <c r="F14" s="2">
        <v>88889</v>
      </c>
      <c r="G14" s="2">
        <f t="shared" si="0"/>
        <v>1200000</v>
      </c>
      <c r="I14" s="3"/>
      <c r="J14" s="1"/>
      <c r="K14" s="2"/>
      <c r="L14" s="2"/>
      <c r="M14" s="2"/>
    </row>
    <row r="15" spans="2:13" x14ac:dyDescent="0.25">
      <c r="C15" s="3">
        <v>46028</v>
      </c>
      <c r="D15" s="1" t="s">
        <v>380</v>
      </c>
      <c r="E15" s="2">
        <v>3133333</v>
      </c>
      <c r="F15" s="2">
        <v>250667</v>
      </c>
      <c r="G15" s="2">
        <f t="shared" si="0"/>
        <v>3384000</v>
      </c>
      <c r="I15" s="3"/>
      <c r="J15" s="1"/>
      <c r="K15" s="2"/>
      <c r="L15" s="2"/>
      <c r="M15" s="2"/>
    </row>
    <row r="16" spans="2:13" x14ac:dyDescent="0.25">
      <c r="C16" s="3">
        <v>46029</v>
      </c>
      <c r="D16" s="1" t="s">
        <v>381</v>
      </c>
      <c r="E16" s="2">
        <v>740741</v>
      </c>
      <c r="F16" s="2">
        <v>59259</v>
      </c>
      <c r="G16" s="2">
        <f t="shared" si="0"/>
        <v>800000</v>
      </c>
      <c r="I16" s="1"/>
      <c r="J16" s="1"/>
      <c r="K16" s="1"/>
      <c r="L16" s="1"/>
      <c r="M16" s="2"/>
    </row>
    <row r="17" spans="3:13" x14ac:dyDescent="0.25">
      <c r="C17" s="3">
        <v>46029</v>
      </c>
      <c r="D17" s="1" t="s">
        <v>382</v>
      </c>
      <c r="E17" s="2">
        <v>1155556</v>
      </c>
      <c r="F17" s="2">
        <v>92444</v>
      </c>
      <c r="G17" s="2">
        <f t="shared" si="0"/>
        <v>1248000</v>
      </c>
      <c r="I17" s="1"/>
      <c r="J17" s="1"/>
      <c r="K17" s="1"/>
      <c r="L17" s="1"/>
      <c r="M17" s="2"/>
    </row>
    <row r="18" spans="3:13" x14ac:dyDescent="0.25">
      <c r="C18" s="3">
        <v>46030</v>
      </c>
      <c r="D18" s="1" t="s">
        <v>383</v>
      </c>
      <c r="E18" s="2">
        <v>740741</v>
      </c>
      <c r="F18" s="2">
        <v>59259</v>
      </c>
      <c r="G18" s="2">
        <f t="shared" si="0"/>
        <v>800000</v>
      </c>
      <c r="I18" s="1"/>
      <c r="J18" s="1"/>
      <c r="K18" s="1"/>
      <c r="L18" s="1"/>
      <c r="M18" s="2"/>
    </row>
    <row r="19" spans="3:13" x14ac:dyDescent="0.25">
      <c r="C19" s="3">
        <v>46031</v>
      </c>
      <c r="D19" s="1" t="s">
        <v>384</v>
      </c>
      <c r="E19" s="2">
        <v>5555556</v>
      </c>
      <c r="F19" s="2">
        <v>444444</v>
      </c>
      <c r="G19" s="2">
        <f t="shared" si="0"/>
        <v>6000000</v>
      </c>
      <c r="I19" s="1"/>
      <c r="J19" s="1"/>
      <c r="K19" s="1"/>
      <c r="L19" s="1"/>
      <c r="M19" s="2"/>
    </row>
    <row r="20" spans="3:13" x14ac:dyDescent="0.25">
      <c r="C20" s="3">
        <v>46031</v>
      </c>
      <c r="D20" s="1" t="s">
        <v>385</v>
      </c>
      <c r="E20" s="2">
        <v>1388889</v>
      </c>
      <c r="F20" s="2">
        <v>111111</v>
      </c>
      <c r="G20" s="2">
        <f t="shared" si="0"/>
        <v>1500000</v>
      </c>
      <c r="I20" s="1"/>
      <c r="J20" s="1"/>
      <c r="K20" s="1"/>
      <c r="L20" s="1"/>
      <c r="M20" s="2"/>
    </row>
    <row r="21" spans="3:13" x14ac:dyDescent="0.25">
      <c r="C21" s="3">
        <v>46032</v>
      </c>
      <c r="D21" s="1" t="s">
        <v>386</v>
      </c>
      <c r="E21" s="2">
        <v>370370</v>
      </c>
      <c r="F21" s="2">
        <v>29630</v>
      </c>
      <c r="G21" s="2">
        <f t="shared" si="0"/>
        <v>400000</v>
      </c>
      <c r="I21" s="1"/>
      <c r="J21" s="1"/>
      <c r="K21" s="1"/>
      <c r="L21" s="1"/>
      <c r="M21" s="2"/>
    </row>
    <row r="22" spans="3:13" x14ac:dyDescent="0.25">
      <c r="C22" s="3">
        <v>46032</v>
      </c>
      <c r="D22" s="1" t="s">
        <v>387</v>
      </c>
      <c r="E22" s="2">
        <v>5713426</v>
      </c>
      <c r="F22" s="2">
        <v>457074</v>
      </c>
      <c r="G22" s="2">
        <f t="shared" si="0"/>
        <v>6170500</v>
      </c>
      <c r="M22" s="2"/>
    </row>
    <row r="23" spans="3:13" x14ac:dyDescent="0.25">
      <c r="C23" s="3">
        <v>46033</v>
      </c>
      <c r="D23" s="1" t="s">
        <v>389</v>
      </c>
      <c r="E23" s="2">
        <v>1666667</v>
      </c>
      <c r="F23" s="2">
        <v>133333</v>
      </c>
      <c r="G23" s="2">
        <f t="shared" si="0"/>
        <v>1800000</v>
      </c>
      <c r="M23" s="2"/>
    </row>
    <row r="24" spans="3:13" x14ac:dyDescent="0.25">
      <c r="C24" s="3">
        <v>46034</v>
      </c>
      <c r="D24" s="1" t="s">
        <v>391</v>
      </c>
      <c r="E24" s="2">
        <v>2777778</v>
      </c>
      <c r="F24" s="2">
        <v>222222</v>
      </c>
      <c r="G24" s="2">
        <f t="shared" si="0"/>
        <v>3000000</v>
      </c>
      <c r="M24" s="2"/>
    </row>
    <row r="25" spans="3:13" x14ac:dyDescent="0.25">
      <c r="C25" s="3">
        <v>46034</v>
      </c>
      <c r="D25" s="1" t="s">
        <v>392</v>
      </c>
      <c r="E25" s="2">
        <v>740741</v>
      </c>
      <c r="F25" s="2">
        <v>59259</v>
      </c>
      <c r="G25" s="2">
        <f t="shared" si="0"/>
        <v>800000</v>
      </c>
      <c r="M25" s="2"/>
    </row>
    <row r="26" spans="3:13" x14ac:dyDescent="0.25">
      <c r="C26" s="3">
        <v>46034</v>
      </c>
      <c r="D26" s="1" t="s">
        <v>393</v>
      </c>
      <c r="E26" s="2">
        <v>370370</v>
      </c>
      <c r="F26" s="2">
        <v>29630</v>
      </c>
      <c r="G26" s="2">
        <f t="shared" si="0"/>
        <v>400000</v>
      </c>
    </row>
    <row r="27" spans="3:13" x14ac:dyDescent="0.25">
      <c r="C27" s="3">
        <v>46036</v>
      </c>
      <c r="D27" s="1" t="s">
        <v>394</v>
      </c>
      <c r="E27" s="2">
        <v>462963</v>
      </c>
      <c r="F27" s="2">
        <v>37037</v>
      </c>
      <c r="G27" s="2">
        <f t="shared" si="0"/>
        <v>500000</v>
      </c>
    </row>
    <row r="28" spans="3:13" x14ac:dyDescent="0.25">
      <c r="C28" s="3">
        <v>46036</v>
      </c>
      <c r="D28" s="1" t="s">
        <v>395</v>
      </c>
      <c r="E28" s="2">
        <v>1111112</v>
      </c>
      <c r="F28" s="2">
        <v>88888</v>
      </c>
      <c r="G28" s="2">
        <f t="shared" si="0"/>
        <v>1200000</v>
      </c>
    </row>
    <row r="29" spans="3:13" x14ac:dyDescent="0.25">
      <c r="C29" s="3">
        <v>46036</v>
      </c>
      <c r="D29" s="1" t="s">
        <v>396</v>
      </c>
      <c r="E29" s="2">
        <v>4629630</v>
      </c>
      <c r="F29" s="2">
        <v>370370</v>
      </c>
      <c r="G29" s="2">
        <f t="shared" si="0"/>
        <v>5000000</v>
      </c>
    </row>
    <row r="30" spans="3:13" x14ac:dyDescent="0.25">
      <c r="C30" s="3">
        <v>46038</v>
      </c>
      <c r="D30" s="1" t="s">
        <v>397</v>
      </c>
      <c r="E30" s="2">
        <v>1203704</v>
      </c>
      <c r="F30" s="2">
        <v>96296</v>
      </c>
      <c r="G30" s="2">
        <f t="shared" si="0"/>
        <v>1300000</v>
      </c>
    </row>
    <row r="31" spans="3:13" x14ac:dyDescent="0.25">
      <c r="C31" s="3">
        <v>46040</v>
      </c>
      <c r="D31" s="1" t="s">
        <v>398</v>
      </c>
      <c r="E31" s="2">
        <v>6628194</v>
      </c>
      <c r="F31" s="2">
        <v>530256</v>
      </c>
      <c r="G31" s="2">
        <f t="shared" si="0"/>
        <v>7158450</v>
      </c>
    </row>
    <row r="32" spans="3:13" x14ac:dyDescent="0.25">
      <c r="C32" s="3">
        <v>46040</v>
      </c>
      <c r="D32" s="1" t="s">
        <v>399</v>
      </c>
      <c r="E32" s="2">
        <v>2777778</v>
      </c>
      <c r="F32" s="2">
        <v>222222</v>
      </c>
      <c r="G32" s="2">
        <f t="shared" si="0"/>
        <v>3000000</v>
      </c>
    </row>
    <row r="33" spans="3:13" x14ac:dyDescent="0.25">
      <c r="C33" s="3">
        <v>46040</v>
      </c>
      <c r="D33" s="1" t="s">
        <v>400</v>
      </c>
      <c r="E33" s="2">
        <v>1296296</v>
      </c>
      <c r="F33" s="2">
        <v>103704</v>
      </c>
      <c r="G33" s="2">
        <f t="shared" si="0"/>
        <v>1400000</v>
      </c>
    </row>
    <row r="34" spans="3:13" x14ac:dyDescent="0.25">
      <c r="C34" s="3">
        <v>46040</v>
      </c>
      <c r="D34" s="1" t="s">
        <v>401</v>
      </c>
      <c r="E34" s="2">
        <v>4629630</v>
      </c>
      <c r="F34" s="2">
        <v>370370</v>
      </c>
      <c r="G34" s="2">
        <f t="shared" si="0"/>
        <v>5000000</v>
      </c>
    </row>
    <row r="35" spans="3:13" x14ac:dyDescent="0.25">
      <c r="C35" s="3"/>
      <c r="D35" s="2"/>
      <c r="E35" s="2"/>
      <c r="F35" s="2"/>
      <c r="G35" s="2">
        <f t="shared" si="0"/>
        <v>0</v>
      </c>
    </row>
    <row r="36" spans="3:13" x14ac:dyDescent="0.25">
      <c r="D36" s="1" t="s">
        <v>8</v>
      </c>
      <c r="E36" s="2">
        <f>SUM(E4:E35)</f>
        <v>82847414</v>
      </c>
      <c r="F36" s="2">
        <f>SUM(F4:F35)</f>
        <v>6627790</v>
      </c>
      <c r="G36" s="2">
        <f>SUM(G4:G35)</f>
        <v>89475204</v>
      </c>
      <c r="I36" s="1"/>
      <c r="J36" s="1" t="s">
        <v>8</v>
      </c>
      <c r="K36" s="2">
        <f>SUM(K4:K26)</f>
        <v>9511093</v>
      </c>
      <c r="L36" s="2">
        <f>SUM(L4:L26)</f>
        <v>761359</v>
      </c>
      <c r="M36" s="2">
        <f>SUM(M4:M26)</f>
        <v>10272452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tháng 1</vt:lpstr>
      <vt:lpstr>tháng 2</vt:lpstr>
      <vt:lpstr>tháng 3</vt:lpstr>
      <vt:lpstr>tháng 4</vt:lpstr>
      <vt:lpstr>tháng 5</vt:lpstr>
      <vt:lpstr>tháng 6</vt:lpstr>
      <vt:lpstr>tháng 7</vt:lpstr>
      <vt:lpstr>tháng 8</vt:lpstr>
      <vt:lpstr>tháng 9</vt:lpstr>
      <vt:lpstr>tháng 10</vt:lpstr>
      <vt:lpstr>tháng 11</vt:lpstr>
      <vt:lpstr>tháng 12</vt:lpstr>
      <vt:lpstr>tháng 1-2025</vt:lpstr>
      <vt:lpstr>tháng 2-2025</vt:lpstr>
      <vt:lpstr>tháng 3-2025</vt:lpstr>
      <vt:lpstr>tháng 4-2025</vt:lpstr>
      <vt:lpstr>tháng 5-2025</vt:lpstr>
      <vt:lpstr>tháng 6-2025</vt:lpstr>
      <vt:lpstr>tháng 7-2025</vt:lpstr>
      <vt:lpstr>tháng 8-2025</vt:lpstr>
      <vt:lpstr>tháng 9-2025</vt:lpstr>
      <vt:lpstr>tháng 10-2025</vt:lpstr>
      <vt:lpstr>tháng 11-2025 </vt:lpstr>
      <vt:lpstr>tháng 12-2025</vt:lpstr>
      <vt:lpstr>tháng 1-2026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Welcome</cp:lastModifiedBy>
  <cp:lastPrinted>2025-04-03T06:27:07Z</cp:lastPrinted>
  <dcterms:created xsi:type="dcterms:W3CDTF">2024-02-24T07:05:32Z</dcterms:created>
  <dcterms:modified xsi:type="dcterms:W3CDTF">2026-01-21T16:51:02Z</dcterms:modified>
</cp:coreProperties>
</file>